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etanshu\Desktop\"/>
    </mc:Choice>
  </mc:AlternateContent>
  <xr:revisionPtr revIDLastSave="0" documentId="13_ncr:1_{D78D0570-C23D-4148-8673-6B5D6180D8C4}" xr6:coauthVersionLast="47" xr6:coauthVersionMax="47" xr10:uidLastSave="{00000000-0000-0000-0000-000000000000}"/>
  <bookViews>
    <workbookView xWindow="-108" yWindow="-108" windowWidth="23256" windowHeight="12456" activeTab="3" xr2:uid="{30F78439-CB3F-4FFE-A965-F82B52FFF465}"/>
  </bookViews>
  <sheets>
    <sheet name="Excel sheet " sheetId="1" r:id="rId1"/>
    <sheet name="Question 6" sheetId="8" r:id="rId2"/>
    <sheet name="Question 5" sheetId="7" r:id="rId3"/>
    <sheet name="Question 4" sheetId="6" r:id="rId4"/>
    <sheet name="Question 2" sheetId="4" r:id="rId5"/>
    <sheet name="Question 3" sheetId="5" r:id="rId6"/>
    <sheet name="Question 1" sheetId="3" r:id="rId7"/>
    <sheet name="Questions" sheetId="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8" l="1"/>
  <c r="M11" i="6"/>
  <c r="M9" i="6"/>
  <c r="M7" i="6"/>
  <c r="J6" i="6"/>
  <c r="M5" i="5"/>
  <c r="J7" i="5"/>
  <c r="J4" i="5"/>
  <c r="J7" i="4"/>
  <c r="J4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</calcChain>
</file>

<file path=xl/sharedStrings.xml><?xml version="1.0" encoding="utf-8"?>
<sst xmlns="http://schemas.openxmlformats.org/spreadsheetml/2006/main" count="480" uniqueCount="51">
  <si>
    <t>Number</t>
  </si>
  <si>
    <t>Name</t>
  </si>
  <si>
    <t>Hb</t>
  </si>
  <si>
    <t>Anaemic</t>
  </si>
  <si>
    <t>Jafor Alam</t>
  </si>
  <si>
    <t>Yes</t>
  </si>
  <si>
    <t>khadiza</t>
  </si>
  <si>
    <t>No</t>
  </si>
  <si>
    <t>Lalu</t>
  </si>
  <si>
    <t>Mira nath</t>
  </si>
  <si>
    <t>monoara</t>
  </si>
  <si>
    <t>Munaf</t>
  </si>
  <si>
    <t>Nasima</t>
  </si>
  <si>
    <t>Purnima</t>
  </si>
  <si>
    <t>rasheda</t>
  </si>
  <si>
    <t>rokeya</t>
  </si>
  <si>
    <t>Roksana</t>
  </si>
  <si>
    <t>roshida</t>
  </si>
  <si>
    <t>Saleha</t>
  </si>
  <si>
    <t>Shopon</t>
  </si>
  <si>
    <t>zidan</t>
  </si>
  <si>
    <t>shahabuddin</t>
  </si>
  <si>
    <t>rehena</t>
  </si>
  <si>
    <t>kulsuma</t>
  </si>
  <si>
    <t>hashina</t>
  </si>
  <si>
    <t>purnima dey</t>
  </si>
  <si>
    <t>nur safa</t>
  </si>
  <si>
    <t>kohinur</t>
  </si>
  <si>
    <t>khadiza2</t>
  </si>
  <si>
    <t>Shahalam</t>
  </si>
  <si>
    <t>Md.Ismail</t>
  </si>
  <si>
    <t>Saiful</t>
  </si>
  <si>
    <t>Yamin</t>
  </si>
  <si>
    <t>Tarek</t>
  </si>
  <si>
    <t>Sagar</t>
  </si>
  <si>
    <t>Red Pixel</t>
  </si>
  <si>
    <t>Green pixel</t>
  </si>
  <si>
    <t>Blue pixel</t>
  </si>
  <si>
    <t>Who are the patients classified as anaemic based on their Hb level (&lt;12 g/dL)?</t>
  </si>
  <si>
    <t>What is the average Hb level for anaemic and non-anaemic individuals?</t>
  </si>
  <si>
    <t>Is there any pattern or difference in the Red Pixel values between anaemic and non-anaemic individuals?</t>
  </si>
  <si>
    <t>Identify the individual with the lowest Hb level and list their pixel values.</t>
  </si>
  <si>
    <t>Create a color-coded heatmap to visualize red pixel intensities for all individuals.</t>
  </si>
  <si>
    <t>How many individuals have red pixel values less than 44 and are anaemic?</t>
  </si>
  <si>
    <t>Question 1</t>
  </si>
  <si>
    <t>for anemic level</t>
  </si>
  <si>
    <t>for non anemic level</t>
  </si>
  <si>
    <t xml:space="preserve">difference </t>
  </si>
  <si>
    <t>Red pixel</t>
  </si>
  <si>
    <t>Green Pixel</t>
  </si>
  <si>
    <t xml:space="preserve">heatmap for red pixel values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</si>
</sst>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CADA-BA93-41CD-90E9-928648A17811}">
  <dimension ref="A1:K30"/>
  <sheetViews>
    <sheetView workbookViewId="0">
      <selection activeCell="K13" sqref="K13:Q13"/>
    </sheetView>
  </sheetViews>
  <sheetFormatPr defaultRowHeight="14.4" x14ac:dyDescent="0.3"/>
  <cols>
    <col min="2" max="2" width="11.21875" bestFit="1" customWidth="1"/>
    <col min="3" max="3" width="9.77734375" bestFit="1" customWidth="1"/>
    <col min="4" max="4" width="11.5546875" bestFit="1" customWidth="1"/>
    <col min="5" max="5" width="10.21875" bestFit="1" customWidth="1"/>
    <col min="10" max="10" width="9.77734375" bestFit="1" customWidth="1"/>
  </cols>
  <sheetData>
    <row r="1" spans="1:11" x14ac:dyDescent="0.3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2</v>
      </c>
      <c r="G1" t="s">
        <v>3</v>
      </c>
    </row>
    <row r="2" spans="1:11" x14ac:dyDescent="0.3">
      <c r="A2">
        <v>1</v>
      </c>
      <c r="B2" t="s">
        <v>4</v>
      </c>
      <c r="C2">
        <v>43.255499999999998</v>
      </c>
      <c r="D2">
        <v>30.842099999999999</v>
      </c>
      <c r="E2">
        <v>25.9025</v>
      </c>
      <c r="F2">
        <v>6.3</v>
      </c>
      <c r="G2" t="s">
        <v>5</v>
      </c>
    </row>
    <row r="3" spans="1:11" x14ac:dyDescent="0.3">
      <c r="A3">
        <v>2</v>
      </c>
      <c r="B3" t="s">
        <v>6</v>
      </c>
      <c r="C3">
        <v>45.603299999999997</v>
      </c>
      <c r="D3">
        <v>28.19</v>
      </c>
      <c r="E3">
        <v>26.206700000000001</v>
      </c>
      <c r="F3">
        <v>13.5</v>
      </c>
      <c r="G3" t="s">
        <v>7</v>
      </c>
      <c r="K3" t="s">
        <v>38</v>
      </c>
    </row>
    <row r="4" spans="1:11" x14ac:dyDescent="0.3">
      <c r="A4">
        <v>3</v>
      </c>
      <c r="B4" t="s">
        <v>8</v>
      </c>
      <c r="C4">
        <v>45.0107</v>
      </c>
      <c r="D4">
        <v>28.967700000000001</v>
      </c>
      <c r="E4">
        <v>26.0215</v>
      </c>
      <c r="F4">
        <v>11.7</v>
      </c>
      <c r="G4" t="s">
        <v>7</v>
      </c>
    </row>
    <row r="5" spans="1:11" x14ac:dyDescent="0.3">
      <c r="A5">
        <v>4</v>
      </c>
      <c r="B5" t="s">
        <v>9</v>
      </c>
      <c r="C5">
        <v>44.5398</v>
      </c>
      <c r="D5">
        <v>28.989899999999999</v>
      </c>
      <c r="E5">
        <v>26.470300000000002</v>
      </c>
      <c r="F5">
        <v>13.5</v>
      </c>
      <c r="G5" t="s">
        <v>7</v>
      </c>
      <c r="K5" t="s">
        <v>39</v>
      </c>
    </row>
    <row r="6" spans="1:11" x14ac:dyDescent="0.3">
      <c r="A6">
        <v>5</v>
      </c>
      <c r="B6" t="s">
        <v>10</v>
      </c>
      <c r="C6">
        <v>43.286999999999999</v>
      </c>
      <c r="D6">
        <v>30.697199999999999</v>
      </c>
      <c r="E6">
        <v>26.015799999999999</v>
      </c>
      <c r="F6">
        <v>12.4</v>
      </c>
      <c r="G6" t="s">
        <v>7</v>
      </c>
    </row>
    <row r="7" spans="1:11" x14ac:dyDescent="0.3">
      <c r="A7">
        <v>6</v>
      </c>
      <c r="B7" t="s">
        <v>11</v>
      </c>
      <c r="C7">
        <v>45.099400000000003</v>
      </c>
      <c r="D7">
        <v>27.964500000000001</v>
      </c>
      <c r="E7">
        <v>26.9361</v>
      </c>
      <c r="F7">
        <v>16.2</v>
      </c>
      <c r="G7" t="s">
        <v>7</v>
      </c>
      <c r="K7" t="s">
        <v>40</v>
      </c>
    </row>
    <row r="8" spans="1:11" x14ac:dyDescent="0.3">
      <c r="A8">
        <v>7</v>
      </c>
      <c r="B8" t="s">
        <v>12</v>
      </c>
      <c r="C8">
        <v>43.145699999999998</v>
      </c>
      <c r="D8">
        <v>30.162800000000001</v>
      </c>
      <c r="E8">
        <v>26.691500000000001</v>
      </c>
      <c r="F8">
        <v>8.6</v>
      </c>
      <c r="G8" t="s">
        <v>5</v>
      </c>
    </row>
    <row r="9" spans="1:11" x14ac:dyDescent="0.3">
      <c r="A9">
        <v>8</v>
      </c>
      <c r="B9" t="s">
        <v>13</v>
      </c>
      <c r="C9">
        <v>43.610300000000002</v>
      </c>
      <c r="D9">
        <v>29.1099</v>
      </c>
      <c r="E9">
        <v>27.279800000000002</v>
      </c>
      <c r="F9">
        <v>10.3</v>
      </c>
      <c r="G9" t="s">
        <v>7</v>
      </c>
      <c r="K9" t="s">
        <v>41</v>
      </c>
    </row>
    <row r="10" spans="1:11" x14ac:dyDescent="0.3">
      <c r="A10">
        <v>9</v>
      </c>
      <c r="B10" t="s">
        <v>14</v>
      </c>
      <c r="C10">
        <v>45.042299999999997</v>
      </c>
      <c r="D10">
        <v>29.166</v>
      </c>
      <c r="E10">
        <v>25.791799999999999</v>
      </c>
      <c r="F10">
        <v>13</v>
      </c>
      <c r="G10" t="s">
        <v>7</v>
      </c>
    </row>
    <row r="11" spans="1:11" x14ac:dyDescent="0.3">
      <c r="A11">
        <v>10</v>
      </c>
      <c r="B11" t="s">
        <v>15</v>
      </c>
      <c r="C11">
        <v>46.514299999999999</v>
      </c>
      <c r="D11">
        <v>27.4282</v>
      </c>
      <c r="E11">
        <v>26.057500000000001</v>
      </c>
      <c r="F11">
        <v>9.6999999999999993</v>
      </c>
      <c r="G11" t="s">
        <v>5</v>
      </c>
      <c r="K11" t="s">
        <v>42</v>
      </c>
    </row>
    <row r="12" spans="1:11" x14ac:dyDescent="0.3">
      <c r="A12">
        <v>11</v>
      </c>
      <c r="B12" t="s">
        <v>16</v>
      </c>
      <c r="C12">
        <v>45.3506</v>
      </c>
      <c r="D12">
        <v>29.1248</v>
      </c>
      <c r="E12">
        <v>25.5246</v>
      </c>
      <c r="F12">
        <v>12.6</v>
      </c>
      <c r="G12" t="s">
        <v>7</v>
      </c>
    </row>
    <row r="13" spans="1:11" x14ac:dyDescent="0.3">
      <c r="A13">
        <v>12</v>
      </c>
      <c r="B13" t="s">
        <v>17</v>
      </c>
      <c r="C13">
        <v>44.406199999999998</v>
      </c>
      <c r="D13">
        <v>28.9298</v>
      </c>
      <c r="E13">
        <v>26.664000000000001</v>
      </c>
      <c r="F13">
        <v>15.4</v>
      </c>
      <c r="G13" t="s">
        <v>7</v>
      </c>
      <c r="K13" t="s">
        <v>43</v>
      </c>
    </row>
    <row r="14" spans="1:11" x14ac:dyDescent="0.3">
      <c r="A14">
        <v>13</v>
      </c>
      <c r="B14" t="s">
        <v>18</v>
      </c>
      <c r="C14">
        <v>44.964199999999998</v>
      </c>
      <c r="D14">
        <v>30.527899999999999</v>
      </c>
      <c r="E14">
        <v>24.507899999999999</v>
      </c>
      <c r="F14">
        <v>4.8</v>
      </c>
      <c r="G14" t="s">
        <v>5</v>
      </c>
    </row>
    <row r="15" spans="1:11" x14ac:dyDescent="0.3">
      <c r="A15">
        <v>14</v>
      </c>
      <c r="B15" t="s">
        <v>19</v>
      </c>
      <c r="C15">
        <v>45.048400000000001</v>
      </c>
      <c r="D15">
        <v>31.104900000000001</v>
      </c>
      <c r="E15">
        <v>23.846699999999998</v>
      </c>
      <c r="F15">
        <v>9</v>
      </c>
      <c r="G15" t="s">
        <v>5</v>
      </c>
    </row>
    <row r="16" spans="1:11" x14ac:dyDescent="0.3">
      <c r="A16">
        <v>15</v>
      </c>
      <c r="B16" t="s">
        <v>20</v>
      </c>
      <c r="C16">
        <v>46.994199999999999</v>
      </c>
      <c r="D16">
        <v>26.049600000000002</v>
      </c>
      <c r="E16">
        <v>26.956199999999999</v>
      </c>
      <c r="F16">
        <v>14.6</v>
      </c>
      <c r="G16" t="s">
        <v>7</v>
      </c>
      <c r="J16" t="s">
        <v>44</v>
      </c>
    </row>
    <row r="17" spans="1:7" x14ac:dyDescent="0.3">
      <c r="A17">
        <v>16</v>
      </c>
      <c r="B17" t="s">
        <v>21</v>
      </c>
      <c r="C17">
        <v>45.584200000000003</v>
      </c>
      <c r="D17">
        <v>28.731100000000001</v>
      </c>
      <c r="E17">
        <v>25.684799999999999</v>
      </c>
      <c r="F17">
        <v>14</v>
      </c>
      <c r="G17" t="s">
        <v>7</v>
      </c>
    </row>
    <row r="18" spans="1:7" x14ac:dyDescent="0.3">
      <c r="A18">
        <v>17</v>
      </c>
      <c r="B18" t="s">
        <v>22</v>
      </c>
      <c r="C18">
        <v>42.535800000000002</v>
      </c>
      <c r="D18">
        <v>30.160399999999999</v>
      </c>
      <c r="E18">
        <v>27.303899999999999</v>
      </c>
      <c r="F18">
        <v>10</v>
      </c>
      <c r="G18" t="s">
        <v>5</v>
      </c>
    </row>
    <row r="19" spans="1:7" x14ac:dyDescent="0.3">
      <c r="A19">
        <v>18</v>
      </c>
      <c r="B19" t="s">
        <v>23</v>
      </c>
      <c r="C19">
        <v>44.095700000000001</v>
      </c>
      <c r="D19">
        <v>29.997299999999999</v>
      </c>
      <c r="E19">
        <v>25.907</v>
      </c>
      <c r="F19">
        <v>8.3000000000000007</v>
      </c>
      <c r="G19" t="s">
        <v>5</v>
      </c>
    </row>
    <row r="20" spans="1:7" x14ac:dyDescent="0.3">
      <c r="A20">
        <v>19</v>
      </c>
      <c r="B20" t="s">
        <v>24</v>
      </c>
      <c r="C20">
        <v>45.7104</v>
      </c>
      <c r="D20">
        <v>27.569299999999998</v>
      </c>
      <c r="E20">
        <v>26.720400000000001</v>
      </c>
      <c r="F20">
        <v>13.6</v>
      </c>
      <c r="G20" t="s">
        <v>7</v>
      </c>
    </row>
    <row r="21" spans="1:7" x14ac:dyDescent="0.3">
      <c r="A21">
        <v>20</v>
      </c>
      <c r="B21" t="s">
        <v>25</v>
      </c>
      <c r="C21">
        <v>40.936500000000002</v>
      </c>
      <c r="D21">
        <v>31.968699999999998</v>
      </c>
      <c r="E21">
        <v>27.094799999999999</v>
      </c>
      <c r="F21">
        <v>9.9</v>
      </c>
      <c r="G21" t="s">
        <v>5</v>
      </c>
    </row>
    <row r="22" spans="1:7" x14ac:dyDescent="0.3">
      <c r="A22">
        <v>21</v>
      </c>
      <c r="B22" t="s">
        <v>26</v>
      </c>
      <c r="C22">
        <v>44.9116</v>
      </c>
      <c r="D22">
        <v>30.376100000000001</v>
      </c>
      <c r="E22">
        <v>24.712299999999999</v>
      </c>
      <c r="F22">
        <v>11.6</v>
      </c>
      <c r="G22" t="s">
        <v>7</v>
      </c>
    </row>
    <row r="23" spans="1:7" x14ac:dyDescent="0.3">
      <c r="A23">
        <v>22</v>
      </c>
      <c r="B23" t="s">
        <v>27</v>
      </c>
      <c r="C23">
        <v>43.422499999999999</v>
      </c>
      <c r="D23">
        <v>29.788900000000002</v>
      </c>
      <c r="E23">
        <v>26.788599999999999</v>
      </c>
      <c r="F23">
        <v>12.4</v>
      </c>
      <c r="G23" t="s">
        <v>7</v>
      </c>
    </row>
    <row r="24" spans="1:7" x14ac:dyDescent="0.3">
      <c r="A24">
        <v>23</v>
      </c>
      <c r="B24" t="s">
        <v>28</v>
      </c>
      <c r="C24">
        <v>43.301900000000003</v>
      </c>
      <c r="D24">
        <v>29.828499999999998</v>
      </c>
      <c r="E24">
        <v>26.869700000000002</v>
      </c>
      <c r="F24">
        <v>12.1</v>
      </c>
      <c r="G24" t="s">
        <v>7</v>
      </c>
    </row>
    <row r="25" spans="1:7" x14ac:dyDescent="0.3">
      <c r="A25">
        <v>24</v>
      </c>
      <c r="B25" t="s">
        <v>29</v>
      </c>
      <c r="C25">
        <v>47.6372</v>
      </c>
      <c r="D25">
        <v>26.795300000000001</v>
      </c>
      <c r="E25">
        <v>25.567499999999999</v>
      </c>
      <c r="F25">
        <v>15.1</v>
      </c>
      <c r="G25" t="s">
        <v>7</v>
      </c>
    </row>
    <row r="26" spans="1:7" x14ac:dyDescent="0.3">
      <c r="A26">
        <v>25</v>
      </c>
      <c r="B26" t="s">
        <v>30</v>
      </c>
      <c r="C26">
        <v>45.690600000000003</v>
      </c>
      <c r="D26">
        <v>30.073499999999999</v>
      </c>
      <c r="E26">
        <v>24.235900000000001</v>
      </c>
      <c r="F26">
        <v>9.1</v>
      </c>
      <c r="G26" t="s">
        <v>5</v>
      </c>
    </row>
    <row r="27" spans="1:7" x14ac:dyDescent="0.3">
      <c r="A27">
        <v>26</v>
      </c>
      <c r="B27" t="s">
        <v>31</v>
      </c>
      <c r="C27">
        <v>43.409799999999997</v>
      </c>
      <c r="D27">
        <v>31.2315</v>
      </c>
      <c r="E27">
        <v>25.358599999999999</v>
      </c>
      <c r="F27">
        <v>12.9</v>
      </c>
      <c r="G27" t="s">
        <v>7</v>
      </c>
    </row>
    <row r="28" spans="1:7" x14ac:dyDescent="0.3">
      <c r="A28">
        <v>27</v>
      </c>
      <c r="B28" t="s">
        <v>32</v>
      </c>
      <c r="C28">
        <v>44.425199999999997</v>
      </c>
      <c r="D28">
        <v>28.743600000000001</v>
      </c>
      <c r="E28">
        <v>26.831199999999999</v>
      </c>
      <c r="F28">
        <v>14.7</v>
      </c>
      <c r="G28" t="s">
        <v>7</v>
      </c>
    </row>
    <row r="29" spans="1:7" x14ac:dyDescent="0.3">
      <c r="A29">
        <v>28</v>
      </c>
      <c r="B29" t="s">
        <v>33</v>
      </c>
      <c r="C29">
        <v>44.329700000000003</v>
      </c>
      <c r="D29">
        <v>28.761700000000001</v>
      </c>
      <c r="E29">
        <v>26.9086</v>
      </c>
      <c r="F29">
        <v>14.1</v>
      </c>
      <c r="G29" t="s">
        <v>7</v>
      </c>
    </row>
    <row r="30" spans="1:7" x14ac:dyDescent="0.3">
      <c r="A30">
        <v>29</v>
      </c>
      <c r="B30" t="s">
        <v>34</v>
      </c>
      <c r="C30">
        <v>47.891300000000001</v>
      </c>
      <c r="D30">
        <v>27.095199999999998</v>
      </c>
      <c r="E30">
        <v>25.013500000000001</v>
      </c>
      <c r="F30">
        <v>14.6</v>
      </c>
      <c r="G3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9BEF-8B27-435C-8FC1-1B6D1534FDF7}">
  <dimension ref="A1:J30"/>
  <sheetViews>
    <sheetView workbookViewId="0">
      <selection activeCell="O24" sqref="O2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2</v>
      </c>
      <c r="G1" t="s">
        <v>3</v>
      </c>
    </row>
    <row r="2" spans="1:10" x14ac:dyDescent="0.3">
      <c r="A2">
        <v>1</v>
      </c>
      <c r="B2" t="s">
        <v>4</v>
      </c>
      <c r="C2">
        <v>43.255499999999998</v>
      </c>
      <c r="D2">
        <v>30.842099999999999</v>
      </c>
      <c r="E2">
        <v>25.9025</v>
      </c>
      <c r="F2">
        <v>6.3</v>
      </c>
      <c r="G2" t="s">
        <v>5</v>
      </c>
    </row>
    <row r="3" spans="1:10" x14ac:dyDescent="0.3">
      <c r="A3">
        <v>2</v>
      </c>
      <c r="B3" t="s">
        <v>6</v>
      </c>
      <c r="C3">
        <v>45.603299999999997</v>
      </c>
      <c r="D3">
        <v>28.19</v>
      </c>
      <c r="E3">
        <v>26.206700000000001</v>
      </c>
      <c r="F3">
        <v>13.5</v>
      </c>
      <c r="G3" t="s">
        <v>7</v>
      </c>
      <c r="J3" t="s">
        <v>43</v>
      </c>
    </row>
    <row r="4" spans="1:10" x14ac:dyDescent="0.3">
      <c r="A4">
        <v>3</v>
      </c>
      <c r="B4" t="s">
        <v>8</v>
      </c>
      <c r="C4">
        <v>45.0107</v>
      </c>
      <c r="D4">
        <v>28.967700000000001</v>
      </c>
      <c r="E4">
        <v>26.0215</v>
      </c>
      <c r="F4">
        <v>11.7</v>
      </c>
      <c r="G4" t="s">
        <v>7</v>
      </c>
    </row>
    <row r="5" spans="1:10" x14ac:dyDescent="0.3">
      <c r="A5">
        <v>4</v>
      </c>
      <c r="B5" t="s">
        <v>9</v>
      </c>
      <c r="C5">
        <v>44.5398</v>
      </c>
      <c r="D5">
        <v>28.989899999999999</v>
      </c>
      <c r="E5">
        <v>26.470300000000002</v>
      </c>
      <c r="F5">
        <v>13.5</v>
      </c>
      <c r="G5" t="s">
        <v>7</v>
      </c>
      <c r="J5">
        <f>COUNTIFS(C2:C30,"&lt;44",G2:G30,"Yes")</f>
        <v>4</v>
      </c>
    </row>
    <row r="6" spans="1:10" x14ac:dyDescent="0.3">
      <c r="A6">
        <v>5</v>
      </c>
      <c r="B6" t="s">
        <v>10</v>
      </c>
      <c r="C6">
        <v>43.286999999999999</v>
      </c>
      <c r="D6">
        <v>30.697199999999999</v>
      </c>
      <c r="E6">
        <v>26.015799999999999</v>
      </c>
      <c r="F6">
        <v>12.4</v>
      </c>
      <c r="G6" t="s">
        <v>7</v>
      </c>
    </row>
    <row r="7" spans="1:10" x14ac:dyDescent="0.3">
      <c r="A7">
        <v>6</v>
      </c>
      <c r="B7" t="s">
        <v>11</v>
      </c>
      <c r="C7">
        <v>45.099400000000003</v>
      </c>
      <c r="D7">
        <v>27.964500000000001</v>
      </c>
      <c r="E7">
        <v>26.9361</v>
      </c>
      <c r="F7">
        <v>16.2</v>
      </c>
      <c r="G7" t="s">
        <v>7</v>
      </c>
    </row>
    <row r="8" spans="1:10" x14ac:dyDescent="0.3">
      <c r="A8">
        <v>7</v>
      </c>
      <c r="B8" t="s">
        <v>12</v>
      </c>
      <c r="C8">
        <v>43.145699999999998</v>
      </c>
      <c r="D8">
        <v>30.162800000000001</v>
      </c>
      <c r="E8">
        <v>26.691500000000001</v>
      </c>
      <c r="F8">
        <v>8.6</v>
      </c>
      <c r="G8" t="s">
        <v>5</v>
      </c>
    </row>
    <row r="9" spans="1:10" x14ac:dyDescent="0.3">
      <c r="A9">
        <v>8</v>
      </c>
      <c r="B9" t="s">
        <v>13</v>
      </c>
      <c r="C9">
        <v>43.610300000000002</v>
      </c>
      <c r="D9">
        <v>29.1099</v>
      </c>
      <c r="E9">
        <v>27.279800000000002</v>
      </c>
      <c r="F9">
        <v>10.3</v>
      </c>
      <c r="G9" t="s">
        <v>7</v>
      </c>
    </row>
    <row r="10" spans="1:10" x14ac:dyDescent="0.3">
      <c r="A10">
        <v>9</v>
      </c>
      <c r="B10" t="s">
        <v>14</v>
      </c>
      <c r="C10">
        <v>45.042299999999997</v>
      </c>
      <c r="D10">
        <v>29.166</v>
      </c>
      <c r="E10">
        <v>25.791799999999999</v>
      </c>
      <c r="F10">
        <v>13</v>
      </c>
      <c r="G10" t="s">
        <v>7</v>
      </c>
    </row>
    <row r="11" spans="1:10" x14ac:dyDescent="0.3">
      <c r="A11">
        <v>10</v>
      </c>
      <c r="B11" t="s">
        <v>15</v>
      </c>
      <c r="C11">
        <v>46.514299999999999</v>
      </c>
      <c r="D11">
        <v>27.4282</v>
      </c>
      <c r="E11">
        <v>26.057500000000001</v>
      </c>
      <c r="F11">
        <v>9.6999999999999993</v>
      </c>
      <c r="G11" t="s">
        <v>5</v>
      </c>
    </row>
    <row r="12" spans="1:10" x14ac:dyDescent="0.3">
      <c r="A12">
        <v>11</v>
      </c>
      <c r="B12" t="s">
        <v>16</v>
      </c>
      <c r="C12">
        <v>45.3506</v>
      </c>
      <c r="D12">
        <v>29.1248</v>
      </c>
      <c r="E12">
        <v>25.5246</v>
      </c>
      <c r="F12">
        <v>12.6</v>
      </c>
      <c r="G12" t="s">
        <v>7</v>
      </c>
    </row>
    <row r="13" spans="1:10" x14ac:dyDescent="0.3">
      <c r="A13">
        <v>12</v>
      </c>
      <c r="B13" t="s">
        <v>17</v>
      </c>
      <c r="C13">
        <v>44.406199999999998</v>
      </c>
      <c r="D13">
        <v>28.9298</v>
      </c>
      <c r="E13">
        <v>26.664000000000001</v>
      </c>
      <c r="F13">
        <v>15.4</v>
      </c>
      <c r="G13" t="s">
        <v>7</v>
      </c>
    </row>
    <row r="14" spans="1:10" x14ac:dyDescent="0.3">
      <c r="A14">
        <v>13</v>
      </c>
      <c r="B14" t="s">
        <v>18</v>
      </c>
      <c r="C14">
        <v>44.964199999999998</v>
      </c>
      <c r="D14">
        <v>30.527899999999999</v>
      </c>
      <c r="E14">
        <v>24.507899999999999</v>
      </c>
      <c r="F14">
        <v>4.8</v>
      </c>
      <c r="G14" t="s">
        <v>5</v>
      </c>
    </row>
    <row r="15" spans="1:10" x14ac:dyDescent="0.3">
      <c r="A15">
        <v>14</v>
      </c>
      <c r="B15" t="s">
        <v>19</v>
      </c>
      <c r="C15">
        <v>45.048400000000001</v>
      </c>
      <c r="D15">
        <v>31.104900000000001</v>
      </c>
      <c r="E15">
        <v>23.846699999999998</v>
      </c>
      <c r="F15">
        <v>9</v>
      </c>
      <c r="G15" t="s">
        <v>5</v>
      </c>
    </row>
    <row r="16" spans="1:10" x14ac:dyDescent="0.3">
      <c r="A16">
        <v>15</v>
      </c>
      <c r="B16" t="s">
        <v>20</v>
      </c>
      <c r="C16">
        <v>46.994199999999999</v>
      </c>
      <c r="D16">
        <v>26.049600000000002</v>
      </c>
      <c r="E16">
        <v>26.956199999999999</v>
      </c>
      <c r="F16">
        <v>14.6</v>
      </c>
      <c r="G16" t="s">
        <v>7</v>
      </c>
    </row>
    <row r="17" spans="1:7" x14ac:dyDescent="0.3">
      <c r="A17">
        <v>16</v>
      </c>
      <c r="B17" t="s">
        <v>21</v>
      </c>
      <c r="C17">
        <v>45.584200000000003</v>
      </c>
      <c r="D17">
        <v>28.731100000000001</v>
      </c>
      <c r="E17">
        <v>25.684799999999999</v>
      </c>
      <c r="F17">
        <v>14</v>
      </c>
      <c r="G17" t="s">
        <v>7</v>
      </c>
    </row>
    <row r="18" spans="1:7" x14ac:dyDescent="0.3">
      <c r="A18">
        <v>17</v>
      </c>
      <c r="B18" t="s">
        <v>22</v>
      </c>
      <c r="C18">
        <v>42.535800000000002</v>
      </c>
      <c r="D18">
        <v>30.160399999999999</v>
      </c>
      <c r="E18">
        <v>27.303899999999999</v>
      </c>
      <c r="F18">
        <v>10</v>
      </c>
      <c r="G18" t="s">
        <v>5</v>
      </c>
    </row>
    <row r="19" spans="1:7" x14ac:dyDescent="0.3">
      <c r="A19">
        <v>18</v>
      </c>
      <c r="B19" t="s">
        <v>23</v>
      </c>
      <c r="C19">
        <v>44.095700000000001</v>
      </c>
      <c r="D19">
        <v>29.997299999999999</v>
      </c>
      <c r="E19">
        <v>25.907</v>
      </c>
      <c r="F19">
        <v>8.3000000000000007</v>
      </c>
      <c r="G19" t="s">
        <v>5</v>
      </c>
    </row>
    <row r="20" spans="1:7" x14ac:dyDescent="0.3">
      <c r="A20">
        <v>19</v>
      </c>
      <c r="B20" t="s">
        <v>24</v>
      </c>
      <c r="C20">
        <v>45.7104</v>
      </c>
      <c r="D20">
        <v>27.569299999999998</v>
      </c>
      <c r="E20">
        <v>26.720400000000001</v>
      </c>
      <c r="F20">
        <v>13.6</v>
      </c>
      <c r="G20" t="s">
        <v>7</v>
      </c>
    </row>
    <row r="21" spans="1:7" x14ac:dyDescent="0.3">
      <c r="A21">
        <v>20</v>
      </c>
      <c r="B21" t="s">
        <v>25</v>
      </c>
      <c r="C21">
        <v>40.936500000000002</v>
      </c>
      <c r="D21">
        <v>31.968699999999998</v>
      </c>
      <c r="E21">
        <v>27.094799999999999</v>
      </c>
      <c r="F21">
        <v>9.9</v>
      </c>
      <c r="G21" t="s">
        <v>5</v>
      </c>
    </row>
    <row r="22" spans="1:7" x14ac:dyDescent="0.3">
      <c r="A22">
        <v>21</v>
      </c>
      <c r="B22" t="s">
        <v>26</v>
      </c>
      <c r="C22">
        <v>44.9116</v>
      </c>
      <c r="D22">
        <v>30.376100000000001</v>
      </c>
      <c r="E22">
        <v>24.712299999999999</v>
      </c>
      <c r="F22">
        <v>11.6</v>
      </c>
      <c r="G22" t="s">
        <v>7</v>
      </c>
    </row>
    <row r="23" spans="1:7" x14ac:dyDescent="0.3">
      <c r="A23">
        <v>22</v>
      </c>
      <c r="B23" t="s">
        <v>27</v>
      </c>
      <c r="C23">
        <v>43.422499999999999</v>
      </c>
      <c r="D23">
        <v>29.788900000000002</v>
      </c>
      <c r="E23">
        <v>26.788599999999999</v>
      </c>
      <c r="F23">
        <v>12.4</v>
      </c>
      <c r="G23" t="s">
        <v>7</v>
      </c>
    </row>
    <row r="24" spans="1:7" x14ac:dyDescent="0.3">
      <c r="A24">
        <v>23</v>
      </c>
      <c r="B24" t="s">
        <v>28</v>
      </c>
      <c r="C24">
        <v>43.301900000000003</v>
      </c>
      <c r="D24">
        <v>29.828499999999998</v>
      </c>
      <c r="E24">
        <v>26.869700000000002</v>
      </c>
      <c r="F24">
        <v>12.1</v>
      </c>
      <c r="G24" t="s">
        <v>7</v>
      </c>
    </row>
    <row r="25" spans="1:7" x14ac:dyDescent="0.3">
      <c r="A25">
        <v>24</v>
      </c>
      <c r="B25" t="s">
        <v>29</v>
      </c>
      <c r="C25">
        <v>47.6372</v>
      </c>
      <c r="D25">
        <v>26.795300000000001</v>
      </c>
      <c r="E25">
        <v>25.567499999999999</v>
      </c>
      <c r="F25">
        <v>15.1</v>
      </c>
      <c r="G25" t="s">
        <v>7</v>
      </c>
    </row>
    <row r="26" spans="1:7" x14ac:dyDescent="0.3">
      <c r="A26">
        <v>25</v>
      </c>
      <c r="B26" t="s">
        <v>30</v>
      </c>
      <c r="C26">
        <v>45.690600000000003</v>
      </c>
      <c r="D26">
        <v>30.073499999999999</v>
      </c>
      <c r="E26">
        <v>24.235900000000001</v>
      </c>
      <c r="F26">
        <v>9.1</v>
      </c>
      <c r="G26" t="s">
        <v>5</v>
      </c>
    </row>
    <row r="27" spans="1:7" x14ac:dyDescent="0.3">
      <c r="A27">
        <v>26</v>
      </c>
      <c r="B27" t="s">
        <v>31</v>
      </c>
      <c r="C27">
        <v>43.409799999999997</v>
      </c>
      <c r="D27">
        <v>31.2315</v>
      </c>
      <c r="E27">
        <v>25.358599999999999</v>
      </c>
      <c r="F27">
        <v>12.9</v>
      </c>
      <c r="G27" t="s">
        <v>7</v>
      </c>
    </row>
    <row r="28" spans="1:7" x14ac:dyDescent="0.3">
      <c r="A28">
        <v>27</v>
      </c>
      <c r="B28" t="s">
        <v>32</v>
      </c>
      <c r="C28">
        <v>44.425199999999997</v>
      </c>
      <c r="D28">
        <v>28.743600000000001</v>
      </c>
      <c r="E28">
        <v>26.831199999999999</v>
      </c>
      <c r="F28">
        <v>14.7</v>
      </c>
      <c r="G28" t="s">
        <v>7</v>
      </c>
    </row>
    <row r="29" spans="1:7" x14ac:dyDescent="0.3">
      <c r="A29">
        <v>28</v>
      </c>
      <c r="B29" t="s">
        <v>33</v>
      </c>
      <c r="C29">
        <v>44.329700000000003</v>
      </c>
      <c r="D29">
        <v>28.761700000000001</v>
      </c>
      <c r="E29">
        <v>26.9086</v>
      </c>
      <c r="F29">
        <v>14.1</v>
      </c>
      <c r="G29" t="s">
        <v>7</v>
      </c>
    </row>
    <row r="30" spans="1:7" x14ac:dyDescent="0.3">
      <c r="A30">
        <v>29</v>
      </c>
      <c r="B30" t="s">
        <v>34</v>
      </c>
      <c r="C30">
        <v>47.891300000000001</v>
      </c>
      <c r="D30">
        <v>27.095199999999998</v>
      </c>
      <c r="E30">
        <v>25.013500000000001</v>
      </c>
      <c r="F30">
        <v>14.6</v>
      </c>
      <c r="G30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270B-D93A-4237-BCBE-565F97A078AD}">
  <dimension ref="A1:J30"/>
  <sheetViews>
    <sheetView workbookViewId="0">
      <selection activeCell="J7" sqref="J7"/>
    </sheetView>
  </sheetViews>
  <sheetFormatPr defaultRowHeight="14.4" x14ac:dyDescent="0.3"/>
  <cols>
    <col min="10" max="10" width="24.77734375" bestFit="1" customWidth="1"/>
  </cols>
  <sheetData>
    <row r="1" spans="1:10" x14ac:dyDescent="0.3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2</v>
      </c>
      <c r="G1" t="s">
        <v>3</v>
      </c>
    </row>
    <row r="2" spans="1:10" x14ac:dyDescent="0.3">
      <c r="A2">
        <v>1</v>
      </c>
      <c r="B2" t="s">
        <v>4</v>
      </c>
      <c r="C2">
        <v>43.255499999999998</v>
      </c>
      <c r="D2">
        <v>30.842099999999999</v>
      </c>
      <c r="E2">
        <v>25.9025</v>
      </c>
      <c r="F2">
        <v>6.3</v>
      </c>
      <c r="G2" t="s">
        <v>5</v>
      </c>
      <c r="J2" t="s">
        <v>50</v>
      </c>
    </row>
    <row r="3" spans="1:10" x14ac:dyDescent="0.3">
      <c r="A3">
        <v>2</v>
      </c>
      <c r="B3" t="s">
        <v>6</v>
      </c>
      <c r="C3">
        <v>45.603299999999997</v>
      </c>
      <c r="D3">
        <v>28.19</v>
      </c>
      <c r="E3">
        <v>26.206700000000001</v>
      </c>
      <c r="F3">
        <v>13.5</v>
      </c>
      <c r="G3" t="s">
        <v>7</v>
      </c>
    </row>
    <row r="4" spans="1:10" x14ac:dyDescent="0.3">
      <c r="A4">
        <v>3</v>
      </c>
      <c r="B4" t="s">
        <v>8</v>
      </c>
      <c r="C4">
        <v>45.0107</v>
      </c>
      <c r="D4">
        <v>28.967700000000001</v>
      </c>
      <c r="E4">
        <v>26.0215</v>
      </c>
      <c r="F4">
        <v>11.7</v>
      </c>
      <c r="G4" t="s">
        <v>7</v>
      </c>
    </row>
    <row r="5" spans="1:10" x14ac:dyDescent="0.3">
      <c r="A5">
        <v>4</v>
      </c>
      <c r="B5" t="s">
        <v>9</v>
      </c>
      <c r="C5">
        <v>44.5398</v>
      </c>
      <c r="D5">
        <v>28.989899999999999</v>
      </c>
      <c r="E5">
        <v>26.470300000000002</v>
      </c>
      <c r="F5">
        <v>13.5</v>
      </c>
      <c r="G5" t="s">
        <v>7</v>
      </c>
    </row>
    <row r="6" spans="1:10" x14ac:dyDescent="0.3">
      <c r="A6">
        <v>5</v>
      </c>
      <c r="B6" t="s">
        <v>10</v>
      </c>
      <c r="C6">
        <v>43.286999999999999</v>
      </c>
      <c r="D6">
        <v>30.697199999999999</v>
      </c>
      <c r="E6">
        <v>26.015799999999999</v>
      </c>
      <c r="F6">
        <v>12.4</v>
      </c>
      <c r="G6" t="s">
        <v>7</v>
      </c>
    </row>
    <row r="7" spans="1:10" x14ac:dyDescent="0.3">
      <c r="A7">
        <v>6</v>
      </c>
      <c r="B7" t="s">
        <v>11</v>
      </c>
      <c r="C7">
        <v>45.099400000000003</v>
      </c>
      <c r="D7">
        <v>27.964500000000001</v>
      </c>
      <c r="E7">
        <v>26.9361</v>
      </c>
      <c r="F7">
        <v>16.2</v>
      </c>
      <c r="G7" t="s">
        <v>7</v>
      </c>
    </row>
    <row r="8" spans="1:10" x14ac:dyDescent="0.3">
      <c r="A8">
        <v>7</v>
      </c>
      <c r="B8" t="s">
        <v>12</v>
      </c>
      <c r="C8">
        <v>43.145699999999998</v>
      </c>
      <c r="D8">
        <v>30.162800000000001</v>
      </c>
      <c r="E8">
        <v>26.691500000000001</v>
      </c>
      <c r="F8">
        <v>8.6</v>
      </c>
      <c r="G8" t="s">
        <v>5</v>
      </c>
    </row>
    <row r="9" spans="1:10" x14ac:dyDescent="0.3">
      <c r="A9">
        <v>8</v>
      </c>
      <c r="B9" t="s">
        <v>13</v>
      </c>
      <c r="C9">
        <v>43.610300000000002</v>
      </c>
      <c r="D9">
        <v>29.1099</v>
      </c>
      <c r="E9">
        <v>27.279800000000002</v>
      </c>
      <c r="F9">
        <v>10.3</v>
      </c>
      <c r="G9" t="s">
        <v>7</v>
      </c>
    </row>
    <row r="10" spans="1:10" x14ac:dyDescent="0.3">
      <c r="A10">
        <v>9</v>
      </c>
      <c r="B10" t="s">
        <v>14</v>
      </c>
      <c r="C10">
        <v>45.042299999999997</v>
      </c>
      <c r="D10">
        <v>29.166</v>
      </c>
      <c r="E10">
        <v>25.791799999999999</v>
      </c>
      <c r="F10">
        <v>13</v>
      </c>
      <c r="G10" t="s">
        <v>7</v>
      </c>
    </row>
    <row r="11" spans="1:10" x14ac:dyDescent="0.3">
      <c r="A11">
        <v>10</v>
      </c>
      <c r="B11" t="s">
        <v>15</v>
      </c>
      <c r="C11">
        <v>46.514299999999999</v>
      </c>
      <c r="D11">
        <v>27.4282</v>
      </c>
      <c r="E11">
        <v>26.057500000000001</v>
      </c>
      <c r="F11">
        <v>9.6999999999999993</v>
      </c>
      <c r="G11" t="s">
        <v>5</v>
      </c>
    </row>
    <row r="12" spans="1:10" x14ac:dyDescent="0.3">
      <c r="A12">
        <v>11</v>
      </c>
      <c r="B12" t="s">
        <v>16</v>
      </c>
      <c r="C12">
        <v>45.3506</v>
      </c>
      <c r="D12">
        <v>29.1248</v>
      </c>
      <c r="E12">
        <v>25.5246</v>
      </c>
      <c r="F12">
        <v>12.6</v>
      </c>
      <c r="G12" t="s">
        <v>7</v>
      </c>
    </row>
    <row r="13" spans="1:10" x14ac:dyDescent="0.3">
      <c r="A13">
        <v>12</v>
      </c>
      <c r="B13" t="s">
        <v>17</v>
      </c>
      <c r="C13">
        <v>44.406199999999998</v>
      </c>
      <c r="D13">
        <v>28.9298</v>
      </c>
      <c r="E13">
        <v>26.664000000000001</v>
      </c>
      <c r="F13">
        <v>15.4</v>
      </c>
      <c r="G13" t="s">
        <v>7</v>
      </c>
    </row>
    <row r="14" spans="1:10" x14ac:dyDescent="0.3">
      <c r="A14">
        <v>13</v>
      </c>
      <c r="B14" t="s">
        <v>18</v>
      </c>
      <c r="C14">
        <v>44.964199999999998</v>
      </c>
      <c r="D14">
        <v>30.527899999999999</v>
      </c>
      <c r="E14">
        <v>24.507899999999999</v>
      </c>
      <c r="F14">
        <v>4.8</v>
      </c>
      <c r="G14" t="s">
        <v>5</v>
      </c>
    </row>
    <row r="15" spans="1:10" x14ac:dyDescent="0.3">
      <c r="A15">
        <v>14</v>
      </c>
      <c r="B15" t="s">
        <v>19</v>
      </c>
      <c r="C15">
        <v>45.048400000000001</v>
      </c>
      <c r="D15">
        <v>31.104900000000001</v>
      </c>
      <c r="E15">
        <v>23.846699999999998</v>
      </c>
      <c r="F15">
        <v>9</v>
      </c>
      <c r="G15" t="s">
        <v>5</v>
      </c>
    </row>
    <row r="16" spans="1:10" x14ac:dyDescent="0.3">
      <c r="A16">
        <v>15</v>
      </c>
      <c r="B16" t="s">
        <v>20</v>
      </c>
      <c r="C16">
        <v>46.994199999999999</v>
      </c>
      <c r="D16">
        <v>26.049600000000002</v>
      </c>
      <c r="E16">
        <v>26.956199999999999</v>
      </c>
      <c r="F16">
        <v>14.6</v>
      </c>
      <c r="G16" t="s">
        <v>7</v>
      </c>
    </row>
    <row r="17" spans="1:7" x14ac:dyDescent="0.3">
      <c r="A17">
        <v>16</v>
      </c>
      <c r="B17" t="s">
        <v>21</v>
      </c>
      <c r="C17">
        <v>45.584200000000003</v>
      </c>
      <c r="D17">
        <v>28.731100000000001</v>
      </c>
      <c r="E17">
        <v>25.684799999999999</v>
      </c>
      <c r="F17">
        <v>14</v>
      </c>
      <c r="G17" t="s">
        <v>7</v>
      </c>
    </row>
    <row r="18" spans="1:7" x14ac:dyDescent="0.3">
      <c r="A18">
        <v>17</v>
      </c>
      <c r="B18" t="s">
        <v>22</v>
      </c>
      <c r="C18">
        <v>42.535800000000002</v>
      </c>
      <c r="D18">
        <v>30.160399999999999</v>
      </c>
      <c r="E18">
        <v>27.303899999999999</v>
      </c>
      <c r="F18">
        <v>10</v>
      </c>
      <c r="G18" t="s">
        <v>5</v>
      </c>
    </row>
    <row r="19" spans="1:7" x14ac:dyDescent="0.3">
      <c r="A19">
        <v>18</v>
      </c>
      <c r="B19" t="s">
        <v>23</v>
      </c>
      <c r="C19">
        <v>44.095700000000001</v>
      </c>
      <c r="D19">
        <v>29.997299999999999</v>
      </c>
      <c r="E19">
        <v>25.907</v>
      </c>
      <c r="F19">
        <v>8.3000000000000007</v>
      </c>
      <c r="G19" t="s">
        <v>5</v>
      </c>
    </row>
    <row r="20" spans="1:7" x14ac:dyDescent="0.3">
      <c r="A20">
        <v>19</v>
      </c>
      <c r="B20" t="s">
        <v>24</v>
      </c>
      <c r="C20">
        <v>45.7104</v>
      </c>
      <c r="D20">
        <v>27.569299999999998</v>
      </c>
      <c r="E20">
        <v>26.720400000000001</v>
      </c>
      <c r="F20">
        <v>13.6</v>
      </c>
      <c r="G20" t="s">
        <v>7</v>
      </c>
    </row>
    <row r="21" spans="1:7" x14ac:dyDescent="0.3">
      <c r="A21">
        <v>20</v>
      </c>
      <c r="B21" t="s">
        <v>25</v>
      </c>
      <c r="C21">
        <v>40.936500000000002</v>
      </c>
      <c r="D21">
        <v>31.968699999999998</v>
      </c>
      <c r="E21">
        <v>27.094799999999999</v>
      </c>
      <c r="F21">
        <v>9.9</v>
      </c>
      <c r="G21" t="s">
        <v>5</v>
      </c>
    </row>
    <row r="22" spans="1:7" x14ac:dyDescent="0.3">
      <c r="A22">
        <v>21</v>
      </c>
      <c r="B22" t="s">
        <v>26</v>
      </c>
      <c r="C22">
        <v>44.9116</v>
      </c>
      <c r="D22">
        <v>30.376100000000001</v>
      </c>
      <c r="E22">
        <v>24.712299999999999</v>
      </c>
      <c r="F22">
        <v>11.6</v>
      </c>
      <c r="G22" t="s">
        <v>7</v>
      </c>
    </row>
    <row r="23" spans="1:7" x14ac:dyDescent="0.3">
      <c r="A23">
        <v>22</v>
      </c>
      <c r="B23" t="s">
        <v>27</v>
      </c>
      <c r="C23">
        <v>43.422499999999999</v>
      </c>
      <c r="D23">
        <v>29.788900000000002</v>
      </c>
      <c r="E23">
        <v>26.788599999999999</v>
      </c>
      <c r="F23">
        <v>12.4</v>
      </c>
      <c r="G23" t="s">
        <v>7</v>
      </c>
    </row>
    <row r="24" spans="1:7" x14ac:dyDescent="0.3">
      <c r="A24">
        <v>23</v>
      </c>
      <c r="B24" t="s">
        <v>28</v>
      </c>
      <c r="C24">
        <v>43.301900000000003</v>
      </c>
      <c r="D24">
        <v>29.828499999999998</v>
      </c>
      <c r="E24">
        <v>26.869700000000002</v>
      </c>
      <c r="F24">
        <v>12.1</v>
      </c>
      <c r="G24" t="s">
        <v>7</v>
      </c>
    </row>
    <row r="25" spans="1:7" x14ac:dyDescent="0.3">
      <c r="A25">
        <v>24</v>
      </c>
      <c r="B25" t="s">
        <v>29</v>
      </c>
      <c r="C25">
        <v>47.6372</v>
      </c>
      <c r="D25">
        <v>26.795300000000001</v>
      </c>
      <c r="E25">
        <v>25.567499999999999</v>
      </c>
      <c r="F25">
        <v>15.1</v>
      </c>
      <c r="G25" t="s">
        <v>7</v>
      </c>
    </row>
    <row r="26" spans="1:7" x14ac:dyDescent="0.3">
      <c r="A26">
        <v>25</v>
      </c>
      <c r="B26" t="s">
        <v>30</v>
      </c>
      <c r="C26">
        <v>45.690600000000003</v>
      </c>
      <c r="D26">
        <v>30.073499999999999</v>
      </c>
      <c r="E26">
        <v>24.235900000000001</v>
      </c>
      <c r="F26">
        <v>9.1</v>
      </c>
      <c r="G26" t="s">
        <v>5</v>
      </c>
    </row>
    <row r="27" spans="1:7" x14ac:dyDescent="0.3">
      <c r="A27">
        <v>26</v>
      </c>
      <c r="B27" t="s">
        <v>31</v>
      </c>
      <c r="C27">
        <v>43.409799999999997</v>
      </c>
      <c r="D27">
        <v>31.2315</v>
      </c>
      <c r="E27">
        <v>25.358599999999999</v>
      </c>
      <c r="F27">
        <v>12.9</v>
      </c>
      <c r="G27" t="s">
        <v>7</v>
      </c>
    </row>
    <row r="28" spans="1:7" x14ac:dyDescent="0.3">
      <c r="A28">
        <v>27</v>
      </c>
      <c r="B28" t="s">
        <v>32</v>
      </c>
      <c r="C28">
        <v>44.425199999999997</v>
      </c>
      <c r="D28">
        <v>28.743600000000001</v>
      </c>
      <c r="E28">
        <v>26.831199999999999</v>
      </c>
      <c r="F28">
        <v>14.7</v>
      </c>
      <c r="G28" t="s">
        <v>7</v>
      </c>
    </row>
    <row r="29" spans="1:7" x14ac:dyDescent="0.3">
      <c r="A29">
        <v>28</v>
      </c>
      <c r="B29" t="s">
        <v>33</v>
      </c>
      <c r="C29">
        <v>44.329700000000003</v>
      </c>
      <c r="D29">
        <v>28.761700000000001</v>
      </c>
      <c r="E29">
        <v>26.9086</v>
      </c>
      <c r="F29">
        <v>14.1</v>
      </c>
      <c r="G29" t="s">
        <v>7</v>
      </c>
    </row>
    <row r="30" spans="1:7" x14ac:dyDescent="0.3">
      <c r="A30">
        <v>29</v>
      </c>
      <c r="B30" t="s">
        <v>34</v>
      </c>
      <c r="C30">
        <v>47.891300000000001</v>
      </c>
      <c r="D30">
        <v>27.095199999999998</v>
      </c>
      <c r="E30">
        <v>25.013500000000001</v>
      </c>
      <c r="F30">
        <v>14.6</v>
      </c>
      <c r="G30" t="s">
        <v>7</v>
      </c>
    </row>
  </sheetData>
  <conditionalFormatting sqref="C2:C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9C29-5F00-46DF-BAD1-BB989604363A}">
  <dimension ref="A1:P30"/>
  <sheetViews>
    <sheetView tabSelected="1" workbookViewId="0">
      <selection activeCell="L15" sqref="L15"/>
    </sheetView>
  </sheetViews>
  <sheetFormatPr defaultRowHeight="14.4" x14ac:dyDescent="0.3"/>
  <cols>
    <col min="12" max="12" width="10.109375" bestFit="1" customWidth="1"/>
  </cols>
  <sheetData>
    <row r="1" spans="1:16" x14ac:dyDescent="0.3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2</v>
      </c>
      <c r="G1" t="s">
        <v>3</v>
      </c>
    </row>
    <row r="2" spans="1:16" x14ac:dyDescent="0.3">
      <c r="A2">
        <v>1</v>
      </c>
      <c r="B2" t="s">
        <v>4</v>
      </c>
      <c r="C2">
        <v>43.255499999999998</v>
      </c>
      <c r="D2">
        <v>30.842099999999999</v>
      </c>
      <c r="E2">
        <v>25.9025</v>
      </c>
      <c r="F2">
        <v>6.3</v>
      </c>
      <c r="G2" t="s">
        <v>5</v>
      </c>
    </row>
    <row r="3" spans="1:16" x14ac:dyDescent="0.3">
      <c r="A3">
        <v>2</v>
      </c>
      <c r="B3" t="s">
        <v>6</v>
      </c>
      <c r="C3">
        <v>45.603299999999997</v>
      </c>
      <c r="D3">
        <v>28.19</v>
      </c>
      <c r="E3">
        <v>26.206700000000001</v>
      </c>
      <c r="F3">
        <v>13.5</v>
      </c>
      <c r="G3" t="s">
        <v>7</v>
      </c>
    </row>
    <row r="4" spans="1:16" x14ac:dyDescent="0.3">
      <c r="A4">
        <v>3</v>
      </c>
      <c r="B4" t="s">
        <v>8</v>
      </c>
      <c r="C4">
        <v>45.0107</v>
      </c>
      <c r="D4">
        <v>28.967700000000001</v>
      </c>
      <c r="E4">
        <v>26.0215</v>
      </c>
      <c r="F4">
        <v>11.7</v>
      </c>
      <c r="G4" t="s">
        <v>7</v>
      </c>
    </row>
    <row r="5" spans="1:16" x14ac:dyDescent="0.3">
      <c r="A5">
        <v>4</v>
      </c>
      <c r="B5" t="s">
        <v>9</v>
      </c>
      <c r="C5">
        <v>44.5398</v>
      </c>
      <c r="D5">
        <v>28.989899999999999</v>
      </c>
      <c r="E5">
        <v>26.470300000000002</v>
      </c>
      <c r="F5">
        <v>13.5</v>
      </c>
      <c r="G5" t="s">
        <v>7</v>
      </c>
    </row>
    <row r="6" spans="1:16" x14ac:dyDescent="0.3">
      <c r="A6">
        <v>5</v>
      </c>
      <c r="B6" t="s">
        <v>10</v>
      </c>
      <c r="C6">
        <v>43.286999999999999</v>
      </c>
      <c r="D6">
        <v>30.697199999999999</v>
      </c>
      <c r="E6">
        <v>26.015799999999999</v>
      </c>
      <c r="F6">
        <v>12.4</v>
      </c>
      <c r="G6" t="s">
        <v>7</v>
      </c>
      <c r="J6">
        <f>MATCH(MIN(F2:F30),F2:F30,0)</f>
        <v>13</v>
      </c>
    </row>
    <row r="7" spans="1:16" x14ac:dyDescent="0.3">
      <c r="A7">
        <v>6</v>
      </c>
      <c r="B7" t="s">
        <v>11</v>
      </c>
      <c r="C7">
        <v>45.099400000000003</v>
      </c>
      <c r="D7">
        <v>27.964500000000001</v>
      </c>
      <c r="E7">
        <v>26.9361</v>
      </c>
      <c r="F7">
        <v>16.2</v>
      </c>
      <c r="G7" t="s">
        <v>7</v>
      </c>
      <c r="L7" t="s">
        <v>48</v>
      </c>
      <c r="M7">
        <f>INDEX(C2:C30,MATCH(MIN(F2:F30),F2:F30,0))</f>
        <v>44.964199999999998</v>
      </c>
      <c r="P7" t="s">
        <v>41</v>
      </c>
    </row>
    <row r="8" spans="1:16" x14ac:dyDescent="0.3">
      <c r="A8">
        <v>7</v>
      </c>
      <c r="B8" t="s">
        <v>12</v>
      </c>
      <c r="C8">
        <v>43.145699999999998</v>
      </c>
      <c r="D8">
        <v>30.162800000000001</v>
      </c>
      <c r="E8">
        <v>26.691500000000001</v>
      </c>
      <c r="F8">
        <v>8.6</v>
      </c>
      <c r="G8" t="s">
        <v>5</v>
      </c>
    </row>
    <row r="9" spans="1:16" x14ac:dyDescent="0.3">
      <c r="A9">
        <v>8</v>
      </c>
      <c r="B9" t="s">
        <v>13</v>
      </c>
      <c r="C9">
        <v>43.610300000000002</v>
      </c>
      <c r="D9">
        <v>29.1099</v>
      </c>
      <c r="E9">
        <v>27.279800000000002</v>
      </c>
      <c r="F9">
        <v>10.3</v>
      </c>
      <c r="G9" t="s">
        <v>7</v>
      </c>
      <c r="L9" t="s">
        <v>49</v>
      </c>
      <c r="M9">
        <f>INDEX(D2:D30,MATCH(MIN(F2:F30),F2:F30,0))</f>
        <v>30.527899999999999</v>
      </c>
    </row>
    <row r="10" spans="1:16" x14ac:dyDescent="0.3">
      <c r="A10">
        <v>9</v>
      </c>
      <c r="B10" t="s">
        <v>14</v>
      </c>
      <c r="C10">
        <v>45.042299999999997</v>
      </c>
      <c r="D10">
        <v>29.166</v>
      </c>
      <c r="E10">
        <v>25.791799999999999</v>
      </c>
      <c r="F10">
        <v>13</v>
      </c>
      <c r="G10" t="s">
        <v>7</v>
      </c>
    </row>
    <row r="11" spans="1:16" x14ac:dyDescent="0.3">
      <c r="A11">
        <v>10</v>
      </c>
      <c r="B11" t="s">
        <v>15</v>
      </c>
      <c r="C11">
        <v>46.514299999999999</v>
      </c>
      <c r="D11">
        <v>27.4282</v>
      </c>
      <c r="E11">
        <v>26.057500000000001</v>
      </c>
      <c r="F11">
        <v>9.6999999999999993</v>
      </c>
      <c r="G11" t="s">
        <v>5</v>
      </c>
      <c r="L11" t="s">
        <v>37</v>
      </c>
      <c r="M11">
        <f>INDEX(E2:E30,MATCH(MIN(F2:F30),F2:F30,0))</f>
        <v>24.507899999999999</v>
      </c>
    </row>
    <row r="12" spans="1:16" x14ac:dyDescent="0.3">
      <c r="A12">
        <v>11</v>
      </c>
      <c r="B12" t="s">
        <v>16</v>
      </c>
      <c r="C12">
        <v>45.3506</v>
      </c>
      <c r="D12">
        <v>29.1248</v>
      </c>
      <c r="E12">
        <v>25.5246</v>
      </c>
      <c r="F12">
        <v>12.6</v>
      </c>
      <c r="G12" t="s">
        <v>7</v>
      </c>
    </row>
    <row r="13" spans="1:16" x14ac:dyDescent="0.3">
      <c r="A13">
        <v>12</v>
      </c>
      <c r="B13" t="s">
        <v>17</v>
      </c>
      <c r="C13">
        <v>44.406199999999998</v>
      </c>
      <c r="D13">
        <v>28.9298</v>
      </c>
      <c r="E13">
        <v>26.664000000000001</v>
      </c>
      <c r="F13">
        <v>15.4</v>
      </c>
      <c r="G13" t="s">
        <v>7</v>
      </c>
    </row>
    <row r="14" spans="1:16" x14ac:dyDescent="0.3">
      <c r="A14">
        <v>13</v>
      </c>
      <c r="B14" t="s">
        <v>18</v>
      </c>
      <c r="C14">
        <v>44.964199999999998</v>
      </c>
      <c r="D14">
        <v>30.527899999999999</v>
      </c>
      <c r="E14">
        <v>24.507899999999999</v>
      </c>
      <c r="F14">
        <v>4.8</v>
      </c>
      <c r="G14" t="s">
        <v>5</v>
      </c>
    </row>
    <row r="15" spans="1:16" x14ac:dyDescent="0.3">
      <c r="A15">
        <v>14</v>
      </c>
      <c r="B15" t="s">
        <v>19</v>
      </c>
      <c r="C15">
        <v>45.048400000000001</v>
      </c>
      <c r="D15">
        <v>31.104900000000001</v>
      </c>
      <c r="E15">
        <v>23.846699999999998</v>
      </c>
      <c r="F15">
        <v>9</v>
      </c>
      <c r="G15" t="s">
        <v>5</v>
      </c>
    </row>
    <row r="16" spans="1:16" x14ac:dyDescent="0.3">
      <c r="A16">
        <v>15</v>
      </c>
      <c r="B16" t="s">
        <v>20</v>
      </c>
      <c r="C16">
        <v>46.994199999999999</v>
      </c>
      <c r="D16">
        <v>26.049600000000002</v>
      </c>
      <c r="E16">
        <v>26.956199999999999</v>
      </c>
      <c r="F16">
        <v>14.6</v>
      </c>
      <c r="G16" t="s">
        <v>7</v>
      </c>
    </row>
    <row r="17" spans="1:7" x14ac:dyDescent="0.3">
      <c r="A17">
        <v>16</v>
      </c>
      <c r="B17" t="s">
        <v>21</v>
      </c>
      <c r="C17">
        <v>45.584200000000003</v>
      </c>
      <c r="D17">
        <v>28.731100000000001</v>
      </c>
      <c r="E17">
        <v>25.684799999999999</v>
      </c>
      <c r="F17">
        <v>14</v>
      </c>
      <c r="G17" t="s">
        <v>7</v>
      </c>
    </row>
    <row r="18" spans="1:7" x14ac:dyDescent="0.3">
      <c r="A18">
        <v>17</v>
      </c>
      <c r="B18" t="s">
        <v>22</v>
      </c>
      <c r="C18">
        <v>42.535800000000002</v>
      </c>
      <c r="D18">
        <v>30.160399999999999</v>
      </c>
      <c r="E18">
        <v>27.303899999999999</v>
      </c>
      <c r="F18">
        <v>10</v>
      </c>
      <c r="G18" t="s">
        <v>5</v>
      </c>
    </row>
    <row r="19" spans="1:7" x14ac:dyDescent="0.3">
      <c r="A19">
        <v>18</v>
      </c>
      <c r="B19" t="s">
        <v>23</v>
      </c>
      <c r="C19">
        <v>44.095700000000001</v>
      </c>
      <c r="D19">
        <v>29.997299999999999</v>
      </c>
      <c r="E19">
        <v>25.907</v>
      </c>
      <c r="F19">
        <v>8.3000000000000007</v>
      </c>
      <c r="G19" t="s">
        <v>5</v>
      </c>
    </row>
    <row r="20" spans="1:7" x14ac:dyDescent="0.3">
      <c r="A20">
        <v>19</v>
      </c>
      <c r="B20" t="s">
        <v>24</v>
      </c>
      <c r="C20">
        <v>45.7104</v>
      </c>
      <c r="D20">
        <v>27.569299999999998</v>
      </c>
      <c r="E20">
        <v>26.720400000000001</v>
      </c>
      <c r="F20">
        <v>13.6</v>
      </c>
      <c r="G20" t="s">
        <v>7</v>
      </c>
    </row>
    <row r="21" spans="1:7" x14ac:dyDescent="0.3">
      <c r="A21">
        <v>20</v>
      </c>
      <c r="B21" t="s">
        <v>25</v>
      </c>
      <c r="C21">
        <v>40.936500000000002</v>
      </c>
      <c r="D21">
        <v>31.968699999999998</v>
      </c>
      <c r="E21">
        <v>27.094799999999999</v>
      </c>
      <c r="F21">
        <v>9.9</v>
      </c>
      <c r="G21" t="s">
        <v>5</v>
      </c>
    </row>
    <row r="22" spans="1:7" x14ac:dyDescent="0.3">
      <c r="A22">
        <v>21</v>
      </c>
      <c r="B22" t="s">
        <v>26</v>
      </c>
      <c r="C22">
        <v>44.9116</v>
      </c>
      <c r="D22">
        <v>30.376100000000001</v>
      </c>
      <c r="E22">
        <v>24.712299999999999</v>
      </c>
      <c r="F22">
        <v>11.6</v>
      </c>
      <c r="G22" t="s">
        <v>7</v>
      </c>
    </row>
    <row r="23" spans="1:7" x14ac:dyDescent="0.3">
      <c r="A23">
        <v>22</v>
      </c>
      <c r="B23" t="s">
        <v>27</v>
      </c>
      <c r="C23">
        <v>43.422499999999999</v>
      </c>
      <c r="D23">
        <v>29.788900000000002</v>
      </c>
      <c r="E23">
        <v>26.788599999999999</v>
      </c>
      <c r="F23">
        <v>12.4</v>
      </c>
      <c r="G23" t="s">
        <v>7</v>
      </c>
    </row>
    <row r="24" spans="1:7" x14ac:dyDescent="0.3">
      <c r="A24">
        <v>23</v>
      </c>
      <c r="B24" t="s">
        <v>28</v>
      </c>
      <c r="C24">
        <v>43.301900000000003</v>
      </c>
      <c r="D24">
        <v>29.828499999999998</v>
      </c>
      <c r="E24">
        <v>26.869700000000002</v>
      </c>
      <c r="F24">
        <v>12.1</v>
      </c>
      <c r="G24" t="s">
        <v>7</v>
      </c>
    </row>
    <row r="25" spans="1:7" x14ac:dyDescent="0.3">
      <c r="A25">
        <v>24</v>
      </c>
      <c r="B25" t="s">
        <v>29</v>
      </c>
      <c r="C25">
        <v>47.6372</v>
      </c>
      <c r="D25">
        <v>26.795300000000001</v>
      </c>
      <c r="E25">
        <v>25.567499999999999</v>
      </c>
      <c r="F25">
        <v>15.1</v>
      </c>
      <c r="G25" t="s">
        <v>7</v>
      </c>
    </row>
    <row r="26" spans="1:7" x14ac:dyDescent="0.3">
      <c r="A26">
        <v>25</v>
      </c>
      <c r="B26" t="s">
        <v>30</v>
      </c>
      <c r="C26">
        <v>45.690600000000003</v>
      </c>
      <c r="D26">
        <v>30.073499999999999</v>
      </c>
      <c r="E26">
        <v>24.235900000000001</v>
      </c>
      <c r="F26">
        <v>9.1</v>
      </c>
      <c r="G26" t="s">
        <v>5</v>
      </c>
    </row>
    <row r="27" spans="1:7" x14ac:dyDescent="0.3">
      <c r="A27">
        <v>26</v>
      </c>
      <c r="B27" t="s">
        <v>31</v>
      </c>
      <c r="C27">
        <v>43.409799999999997</v>
      </c>
      <c r="D27">
        <v>31.2315</v>
      </c>
      <c r="E27">
        <v>25.358599999999999</v>
      </c>
      <c r="F27">
        <v>12.9</v>
      </c>
      <c r="G27" t="s">
        <v>7</v>
      </c>
    </row>
    <row r="28" spans="1:7" x14ac:dyDescent="0.3">
      <c r="A28">
        <v>27</v>
      </c>
      <c r="B28" t="s">
        <v>32</v>
      </c>
      <c r="C28">
        <v>44.425199999999997</v>
      </c>
      <c r="D28">
        <v>28.743600000000001</v>
      </c>
      <c r="E28">
        <v>26.831199999999999</v>
      </c>
      <c r="F28">
        <v>14.7</v>
      </c>
      <c r="G28" t="s">
        <v>7</v>
      </c>
    </row>
    <row r="29" spans="1:7" x14ac:dyDescent="0.3">
      <c r="A29">
        <v>28</v>
      </c>
      <c r="B29" t="s">
        <v>33</v>
      </c>
      <c r="C29">
        <v>44.329700000000003</v>
      </c>
      <c r="D29">
        <v>28.761700000000001</v>
      </c>
      <c r="E29">
        <v>26.9086</v>
      </c>
      <c r="F29">
        <v>14.1</v>
      </c>
      <c r="G29" t="s">
        <v>7</v>
      </c>
    </row>
    <row r="30" spans="1:7" x14ac:dyDescent="0.3">
      <c r="A30">
        <v>29</v>
      </c>
      <c r="B30" t="s">
        <v>34</v>
      </c>
      <c r="C30">
        <v>47.891300000000001</v>
      </c>
      <c r="D30">
        <v>27.095199999999998</v>
      </c>
      <c r="E30">
        <v>25.013500000000001</v>
      </c>
      <c r="F30">
        <v>14.6</v>
      </c>
      <c r="G30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E329-EDF9-435C-9B6B-8684DDDBC9F5}">
  <dimension ref="A1:J30"/>
  <sheetViews>
    <sheetView workbookViewId="0">
      <selection activeCell="J8" sqref="J8"/>
    </sheetView>
  </sheetViews>
  <sheetFormatPr defaultRowHeight="14.4" x14ac:dyDescent="0.3"/>
  <cols>
    <col min="9" max="9" width="14.6640625" bestFit="1" customWidth="1"/>
    <col min="10" max="10" width="17.77734375" bestFit="1" customWidth="1"/>
  </cols>
  <sheetData>
    <row r="1" spans="1:10" x14ac:dyDescent="0.3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2</v>
      </c>
      <c r="G1" t="s">
        <v>3</v>
      </c>
    </row>
    <row r="2" spans="1:10" x14ac:dyDescent="0.3">
      <c r="A2">
        <v>1</v>
      </c>
      <c r="B2" t="s">
        <v>4</v>
      </c>
      <c r="C2">
        <v>43.255499999999998</v>
      </c>
      <c r="D2">
        <v>30.842099999999999</v>
      </c>
      <c r="E2">
        <v>25.9025</v>
      </c>
      <c r="F2">
        <v>6.3</v>
      </c>
      <c r="G2" t="s">
        <v>5</v>
      </c>
    </row>
    <row r="3" spans="1:10" x14ac:dyDescent="0.3">
      <c r="A3">
        <v>2</v>
      </c>
      <c r="B3" t="s">
        <v>6</v>
      </c>
      <c r="C3">
        <v>45.603299999999997</v>
      </c>
      <c r="D3">
        <v>28.19</v>
      </c>
      <c r="E3">
        <v>26.206700000000001</v>
      </c>
      <c r="F3">
        <v>13.5</v>
      </c>
      <c r="G3" t="s">
        <v>7</v>
      </c>
      <c r="J3" t="s">
        <v>45</v>
      </c>
    </row>
    <row r="4" spans="1:10" x14ac:dyDescent="0.3">
      <c r="A4">
        <v>3</v>
      </c>
      <c r="B4" t="s">
        <v>8</v>
      </c>
      <c r="C4">
        <v>45.0107</v>
      </c>
      <c r="D4">
        <v>28.967700000000001</v>
      </c>
      <c r="E4">
        <v>26.0215</v>
      </c>
      <c r="F4">
        <v>11.7</v>
      </c>
      <c r="G4" t="s">
        <v>7</v>
      </c>
      <c r="J4">
        <f>AVERAGEIF(G2:G30,"yes",F2:F30)</f>
        <v>8.4111111111111114</v>
      </c>
    </row>
    <row r="5" spans="1:10" x14ac:dyDescent="0.3">
      <c r="A5">
        <v>4</v>
      </c>
      <c r="B5" t="s">
        <v>9</v>
      </c>
      <c r="C5">
        <v>44.5398</v>
      </c>
      <c r="D5">
        <v>28.989899999999999</v>
      </c>
      <c r="E5">
        <v>26.470300000000002</v>
      </c>
      <c r="F5">
        <v>13.5</v>
      </c>
      <c r="G5" t="s">
        <v>7</v>
      </c>
    </row>
    <row r="6" spans="1:10" x14ac:dyDescent="0.3">
      <c r="A6">
        <v>5</v>
      </c>
      <c r="B6" t="s">
        <v>10</v>
      </c>
      <c r="C6">
        <v>43.286999999999999</v>
      </c>
      <c r="D6">
        <v>30.697199999999999</v>
      </c>
      <c r="E6">
        <v>26.015799999999999</v>
      </c>
      <c r="F6">
        <v>12.4</v>
      </c>
      <c r="G6" t="s">
        <v>7</v>
      </c>
      <c r="J6" t="s">
        <v>46</v>
      </c>
    </row>
    <row r="7" spans="1:10" x14ac:dyDescent="0.3">
      <c r="A7">
        <v>6</v>
      </c>
      <c r="B7" t="s">
        <v>11</v>
      </c>
      <c r="C7">
        <v>45.099400000000003</v>
      </c>
      <c r="D7">
        <v>27.964500000000001</v>
      </c>
      <c r="E7">
        <v>26.9361</v>
      </c>
      <c r="F7">
        <v>16.2</v>
      </c>
      <c r="G7" t="s">
        <v>7</v>
      </c>
      <c r="J7">
        <f>AVERAGEIF(G2:G30,"No",F2:F30)</f>
        <v>13.414999999999997</v>
      </c>
    </row>
    <row r="8" spans="1:10" x14ac:dyDescent="0.3">
      <c r="A8">
        <v>7</v>
      </c>
      <c r="B8" t="s">
        <v>12</v>
      </c>
      <c r="C8">
        <v>43.145699999999998</v>
      </c>
      <c r="D8">
        <v>30.162800000000001</v>
      </c>
      <c r="E8">
        <v>26.691500000000001</v>
      </c>
      <c r="F8">
        <v>8.6</v>
      </c>
      <c r="G8" t="s">
        <v>5</v>
      </c>
    </row>
    <row r="9" spans="1:10" x14ac:dyDescent="0.3">
      <c r="A9">
        <v>8</v>
      </c>
      <c r="B9" t="s">
        <v>13</v>
      </c>
      <c r="C9">
        <v>43.610300000000002</v>
      </c>
      <c r="D9">
        <v>29.1099</v>
      </c>
      <c r="E9">
        <v>27.279800000000002</v>
      </c>
      <c r="F9">
        <v>10.3</v>
      </c>
      <c r="G9" t="s">
        <v>7</v>
      </c>
    </row>
    <row r="10" spans="1:10" x14ac:dyDescent="0.3">
      <c r="A10">
        <v>9</v>
      </c>
      <c r="B10" t="s">
        <v>14</v>
      </c>
      <c r="C10">
        <v>45.042299999999997</v>
      </c>
      <c r="D10">
        <v>29.166</v>
      </c>
      <c r="E10">
        <v>25.791799999999999</v>
      </c>
      <c r="F10">
        <v>13</v>
      </c>
      <c r="G10" t="s">
        <v>7</v>
      </c>
    </row>
    <row r="11" spans="1:10" x14ac:dyDescent="0.3">
      <c r="A11">
        <v>10</v>
      </c>
      <c r="B11" t="s">
        <v>15</v>
      </c>
      <c r="C11">
        <v>46.514299999999999</v>
      </c>
      <c r="D11">
        <v>27.4282</v>
      </c>
      <c r="E11">
        <v>26.057500000000001</v>
      </c>
      <c r="F11">
        <v>9.6999999999999993</v>
      </c>
      <c r="G11" t="s">
        <v>5</v>
      </c>
    </row>
    <row r="12" spans="1:10" x14ac:dyDescent="0.3">
      <c r="A12">
        <v>11</v>
      </c>
      <c r="B12" t="s">
        <v>16</v>
      </c>
      <c r="C12">
        <v>45.3506</v>
      </c>
      <c r="D12">
        <v>29.1248</v>
      </c>
      <c r="E12">
        <v>25.5246</v>
      </c>
      <c r="F12">
        <v>12.6</v>
      </c>
      <c r="G12" t="s">
        <v>7</v>
      </c>
    </row>
    <row r="13" spans="1:10" x14ac:dyDescent="0.3">
      <c r="A13">
        <v>12</v>
      </c>
      <c r="B13" t="s">
        <v>17</v>
      </c>
      <c r="C13">
        <v>44.406199999999998</v>
      </c>
      <c r="D13">
        <v>28.9298</v>
      </c>
      <c r="E13">
        <v>26.664000000000001</v>
      </c>
      <c r="F13">
        <v>15.4</v>
      </c>
      <c r="G13" t="s">
        <v>7</v>
      </c>
    </row>
    <row r="14" spans="1:10" x14ac:dyDescent="0.3">
      <c r="A14">
        <v>13</v>
      </c>
      <c r="B14" t="s">
        <v>18</v>
      </c>
      <c r="C14">
        <v>44.964199999999998</v>
      </c>
      <c r="D14">
        <v>30.527899999999999</v>
      </c>
      <c r="E14">
        <v>24.507899999999999</v>
      </c>
      <c r="F14">
        <v>4.8</v>
      </c>
      <c r="G14" t="s">
        <v>5</v>
      </c>
    </row>
    <row r="15" spans="1:10" x14ac:dyDescent="0.3">
      <c r="A15">
        <v>14</v>
      </c>
      <c r="B15" t="s">
        <v>19</v>
      </c>
      <c r="C15">
        <v>45.048400000000001</v>
      </c>
      <c r="D15">
        <v>31.104900000000001</v>
      </c>
      <c r="E15">
        <v>23.846699999999998</v>
      </c>
      <c r="F15">
        <v>9</v>
      </c>
      <c r="G15" t="s">
        <v>5</v>
      </c>
    </row>
    <row r="16" spans="1:10" x14ac:dyDescent="0.3">
      <c r="A16">
        <v>15</v>
      </c>
      <c r="B16" t="s">
        <v>20</v>
      </c>
      <c r="C16">
        <v>46.994199999999999</v>
      </c>
      <c r="D16">
        <v>26.049600000000002</v>
      </c>
      <c r="E16">
        <v>26.956199999999999</v>
      </c>
      <c r="F16">
        <v>14.6</v>
      </c>
      <c r="G16" t="s">
        <v>7</v>
      </c>
    </row>
    <row r="17" spans="1:7" x14ac:dyDescent="0.3">
      <c r="A17">
        <v>16</v>
      </c>
      <c r="B17" t="s">
        <v>21</v>
      </c>
      <c r="C17">
        <v>45.584200000000003</v>
      </c>
      <c r="D17">
        <v>28.731100000000001</v>
      </c>
      <c r="E17">
        <v>25.684799999999999</v>
      </c>
      <c r="F17">
        <v>14</v>
      </c>
      <c r="G17" t="s">
        <v>7</v>
      </c>
    </row>
    <row r="18" spans="1:7" x14ac:dyDescent="0.3">
      <c r="A18">
        <v>17</v>
      </c>
      <c r="B18" t="s">
        <v>22</v>
      </c>
      <c r="C18">
        <v>42.535800000000002</v>
      </c>
      <c r="D18">
        <v>30.160399999999999</v>
      </c>
      <c r="E18">
        <v>27.303899999999999</v>
      </c>
      <c r="F18">
        <v>10</v>
      </c>
      <c r="G18" t="s">
        <v>5</v>
      </c>
    </row>
    <row r="19" spans="1:7" x14ac:dyDescent="0.3">
      <c r="A19">
        <v>18</v>
      </c>
      <c r="B19" t="s">
        <v>23</v>
      </c>
      <c r="C19">
        <v>44.095700000000001</v>
      </c>
      <c r="D19">
        <v>29.997299999999999</v>
      </c>
      <c r="E19">
        <v>25.907</v>
      </c>
      <c r="F19">
        <v>8.3000000000000007</v>
      </c>
      <c r="G19" t="s">
        <v>5</v>
      </c>
    </row>
    <row r="20" spans="1:7" x14ac:dyDescent="0.3">
      <c r="A20">
        <v>19</v>
      </c>
      <c r="B20" t="s">
        <v>24</v>
      </c>
      <c r="C20">
        <v>45.7104</v>
      </c>
      <c r="D20">
        <v>27.569299999999998</v>
      </c>
      <c r="E20">
        <v>26.720400000000001</v>
      </c>
      <c r="F20">
        <v>13.6</v>
      </c>
      <c r="G20" t="s">
        <v>7</v>
      </c>
    </row>
    <row r="21" spans="1:7" x14ac:dyDescent="0.3">
      <c r="A21">
        <v>20</v>
      </c>
      <c r="B21" t="s">
        <v>25</v>
      </c>
      <c r="C21">
        <v>40.936500000000002</v>
      </c>
      <c r="D21">
        <v>31.968699999999998</v>
      </c>
      <c r="E21">
        <v>27.094799999999999</v>
      </c>
      <c r="F21">
        <v>9.9</v>
      </c>
      <c r="G21" t="s">
        <v>5</v>
      </c>
    </row>
    <row r="22" spans="1:7" x14ac:dyDescent="0.3">
      <c r="A22">
        <v>21</v>
      </c>
      <c r="B22" t="s">
        <v>26</v>
      </c>
      <c r="C22">
        <v>44.9116</v>
      </c>
      <c r="D22">
        <v>30.376100000000001</v>
      </c>
      <c r="E22">
        <v>24.712299999999999</v>
      </c>
      <c r="F22">
        <v>11.6</v>
      </c>
      <c r="G22" t="s">
        <v>7</v>
      </c>
    </row>
    <row r="23" spans="1:7" x14ac:dyDescent="0.3">
      <c r="A23">
        <v>22</v>
      </c>
      <c r="B23" t="s">
        <v>27</v>
      </c>
      <c r="C23">
        <v>43.422499999999999</v>
      </c>
      <c r="D23">
        <v>29.788900000000002</v>
      </c>
      <c r="E23">
        <v>26.788599999999999</v>
      </c>
      <c r="F23">
        <v>12.4</v>
      </c>
      <c r="G23" t="s">
        <v>7</v>
      </c>
    </row>
    <row r="24" spans="1:7" x14ac:dyDescent="0.3">
      <c r="A24">
        <v>23</v>
      </c>
      <c r="B24" t="s">
        <v>28</v>
      </c>
      <c r="C24">
        <v>43.301900000000003</v>
      </c>
      <c r="D24">
        <v>29.828499999999998</v>
      </c>
      <c r="E24">
        <v>26.869700000000002</v>
      </c>
      <c r="F24">
        <v>12.1</v>
      </c>
      <c r="G24" t="s">
        <v>7</v>
      </c>
    </row>
    <row r="25" spans="1:7" x14ac:dyDescent="0.3">
      <c r="A25">
        <v>24</v>
      </c>
      <c r="B25" t="s">
        <v>29</v>
      </c>
      <c r="C25">
        <v>47.6372</v>
      </c>
      <c r="D25">
        <v>26.795300000000001</v>
      </c>
      <c r="E25">
        <v>25.567499999999999</v>
      </c>
      <c r="F25">
        <v>15.1</v>
      </c>
      <c r="G25" t="s">
        <v>7</v>
      </c>
    </row>
    <row r="26" spans="1:7" x14ac:dyDescent="0.3">
      <c r="A26">
        <v>25</v>
      </c>
      <c r="B26" t="s">
        <v>30</v>
      </c>
      <c r="C26">
        <v>45.690600000000003</v>
      </c>
      <c r="D26">
        <v>30.073499999999999</v>
      </c>
      <c r="E26">
        <v>24.235900000000001</v>
      </c>
      <c r="F26">
        <v>9.1</v>
      </c>
      <c r="G26" t="s">
        <v>5</v>
      </c>
    </row>
    <row r="27" spans="1:7" x14ac:dyDescent="0.3">
      <c r="A27">
        <v>26</v>
      </c>
      <c r="B27" t="s">
        <v>31</v>
      </c>
      <c r="C27">
        <v>43.409799999999997</v>
      </c>
      <c r="D27">
        <v>31.2315</v>
      </c>
      <c r="E27">
        <v>25.358599999999999</v>
      </c>
      <c r="F27">
        <v>12.9</v>
      </c>
      <c r="G27" t="s">
        <v>7</v>
      </c>
    </row>
    <row r="28" spans="1:7" x14ac:dyDescent="0.3">
      <c r="A28">
        <v>27</v>
      </c>
      <c r="B28" t="s">
        <v>32</v>
      </c>
      <c r="C28">
        <v>44.425199999999997</v>
      </c>
      <c r="D28">
        <v>28.743600000000001</v>
      </c>
      <c r="E28">
        <v>26.831199999999999</v>
      </c>
      <c r="F28">
        <v>14.7</v>
      </c>
      <c r="G28" t="s">
        <v>7</v>
      </c>
    </row>
    <row r="29" spans="1:7" x14ac:dyDescent="0.3">
      <c r="A29">
        <v>28</v>
      </c>
      <c r="B29" t="s">
        <v>33</v>
      </c>
      <c r="C29">
        <v>44.329700000000003</v>
      </c>
      <c r="D29">
        <v>28.761700000000001</v>
      </c>
      <c r="E29">
        <v>26.9086</v>
      </c>
      <c r="F29">
        <v>14.1</v>
      </c>
      <c r="G29" t="s">
        <v>7</v>
      </c>
    </row>
    <row r="30" spans="1:7" x14ac:dyDescent="0.3">
      <c r="A30">
        <v>29</v>
      </c>
      <c r="B30" t="s">
        <v>34</v>
      </c>
      <c r="C30">
        <v>47.891300000000001</v>
      </c>
      <c r="D30">
        <v>27.095199999999998</v>
      </c>
      <c r="E30">
        <v>25.013500000000001</v>
      </c>
      <c r="F30">
        <v>14.6</v>
      </c>
      <c r="G30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C606-6054-4006-8F0E-A1B83FCF7BAC}">
  <dimension ref="A1:M30"/>
  <sheetViews>
    <sheetView workbookViewId="0">
      <selection activeCell="M8" sqref="M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2</v>
      </c>
      <c r="G1" t="s">
        <v>3</v>
      </c>
    </row>
    <row r="2" spans="1:13" x14ac:dyDescent="0.3">
      <c r="A2">
        <v>1</v>
      </c>
      <c r="B2" t="s">
        <v>4</v>
      </c>
      <c r="C2">
        <v>43.255499999999998</v>
      </c>
      <c r="D2">
        <v>30.842099999999999</v>
      </c>
      <c r="E2">
        <v>25.9025</v>
      </c>
      <c r="F2">
        <v>6.3</v>
      </c>
      <c r="G2" t="s">
        <v>5</v>
      </c>
    </row>
    <row r="3" spans="1:13" x14ac:dyDescent="0.3">
      <c r="A3">
        <v>2</v>
      </c>
      <c r="B3" t="s">
        <v>6</v>
      </c>
      <c r="C3">
        <v>45.603299999999997</v>
      </c>
      <c r="D3">
        <v>28.19</v>
      </c>
      <c r="E3">
        <v>26.206700000000001</v>
      </c>
      <c r="F3">
        <v>13.5</v>
      </c>
      <c r="G3" t="s">
        <v>7</v>
      </c>
      <c r="J3" t="s">
        <v>45</v>
      </c>
    </row>
    <row r="4" spans="1:13" x14ac:dyDescent="0.3">
      <c r="A4">
        <v>3</v>
      </c>
      <c r="B4" t="s">
        <v>8</v>
      </c>
      <c r="C4">
        <v>45.0107</v>
      </c>
      <c r="D4">
        <v>28.967700000000001</v>
      </c>
      <c r="E4">
        <v>26.0215</v>
      </c>
      <c r="F4">
        <v>11.7</v>
      </c>
      <c r="G4" t="s">
        <v>7</v>
      </c>
      <c r="J4">
        <f>AVERAGEIF(G2:G30,"yes",C2:C30)</f>
        <v>44.020744444444446</v>
      </c>
      <c r="M4" t="s">
        <v>47</v>
      </c>
    </row>
    <row r="5" spans="1:13" x14ac:dyDescent="0.3">
      <c r="A5">
        <v>4</v>
      </c>
      <c r="B5" t="s">
        <v>9</v>
      </c>
      <c r="C5">
        <v>44.5398</v>
      </c>
      <c r="D5">
        <v>28.989899999999999</v>
      </c>
      <c r="E5">
        <v>26.470300000000002</v>
      </c>
      <c r="F5">
        <v>13.5</v>
      </c>
      <c r="G5" t="s">
        <v>7</v>
      </c>
      <c r="M5">
        <f>ROUND(J7-J4,2)</f>
        <v>0.96</v>
      </c>
    </row>
    <row r="6" spans="1:13" x14ac:dyDescent="0.3">
      <c r="A6">
        <v>5</v>
      </c>
      <c r="B6" t="s">
        <v>10</v>
      </c>
      <c r="C6">
        <v>43.286999999999999</v>
      </c>
      <c r="D6">
        <v>30.697199999999999</v>
      </c>
      <c r="E6">
        <v>26.015799999999999</v>
      </c>
      <c r="F6">
        <v>12.4</v>
      </c>
      <c r="G6" t="s">
        <v>7</v>
      </c>
      <c r="J6" t="s">
        <v>46</v>
      </c>
    </row>
    <row r="7" spans="1:13" x14ac:dyDescent="0.3">
      <c r="A7">
        <v>6</v>
      </c>
      <c r="B7" t="s">
        <v>11</v>
      </c>
      <c r="C7">
        <v>45.099400000000003</v>
      </c>
      <c r="D7">
        <v>27.964500000000001</v>
      </c>
      <c r="E7">
        <v>26.9361</v>
      </c>
      <c r="F7">
        <v>16.2</v>
      </c>
      <c r="G7" t="s">
        <v>7</v>
      </c>
      <c r="J7">
        <f>AVERAGEIF(G2:G30,"No",C2:C30)</f>
        <v>44.978380000000008</v>
      </c>
    </row>
    <row r="8" spans="1:13" x14ac:dyDescent="0.3">
      <c r="A8">
        <v>7</v>
      </c>
      <c r="B8" t="s">
        <v>12</v>
      </c>
      <c r="C8">
        <v>43.145699999999998</v>
      </c>
      <c r="D8">
        <v>30.162800000000001</v>
      </c>
      <c r="E8">
        <v>26.691500000000001</v>
      </c>
      <c r="F8">
        <v>8.6</v>
      </c>
      <c r="G8" t="s">
        <v>5</v>
      </c>
    </row>
    <row r="9" spans="1:13" x14ac:dyDescent="0.3">
      <c r="A9">
        <v>8</v>
      </c>
      <c r="B9" t="s">
        <v>13</v>
      </c>
      <c r="C9">
        <v>43.610300000000002</v>
      </c>
      <c r="D9">
        <v>29.1099</v>
      </c>
      <c r="E9">
        <v>27.279800000000002</v>
      </c>
      <c r="F9">
        <v>10.3</v>
      </c>
      <c r="G9" t="s">
        <v>7</v>
      </c>
    </row>
    <row r="10" spans="1:13" x14ac:dyDescent="0.3">
      <c r="A10">
        <v>9</v>
      </c>
      <c r="B10" t="s">
        <v>14</v>
      </c>
      <c r="C10">
        <v>45.042299999999997</v>
      </c>
      <c r="D10">
        <v>29.166</v>
      </c>
      <c r="E10">
        <v>25.791799999999999</v>
      </c>
      <c r="F10">
        <v>13</v>
      </c>
      <c r="G10" t="s">
        <v>7</v>
      </c>
    </row>
    <row r="11" spans="1:13" x14ac:dyDescent="0.3">
      <c r="A11">
        <v>10</v>
      </c>
      <c r="B11" t="s">
        <v>15</v>
      </c>
      <c r="C11">
        <v>46.514299999999999</v>
      </c>
      <c r="D11">
        <v>27.4282</v>
      </c>
      <c r="E11">
        <v>26.057500000000001</v>
      </c>
      <c r="F11">
        <v>9.6999999999999993</v>
      </c>
      <c r="G11" t="s">
        <v>5</v>
      </c>
    </row>
    <row r="12" spans="1:13" x14ac:dyDescent="0.3">
      <c r="A12">
        <v>11</v>
      </c>
      <c r="B12" t="s">
        <v>16</v>
      </c>
      <c r="C12">
        <v>45.3506</v>
      </c>
      <c r="D12">
        <v>29.1248</v>
      </c>
      <c r="E12">
        <v>25.5246</v>
      </c>
      <c r="F12">
        <v>12.6</v>
      </c>
      <c r="G12" t="s">
        <v>7</v>
      </c>
    </row>
    <row r="13" spans="1:13" x14ac:dyDescent="0.3">
      <c r="A13">
        <v>12</v>
      </c>
      <c r="B13" t="s">
        <v>17</v>
      </c>
      <c r="C13">
        <v>44.406199999999998</v>
      </c>
      <c r="D13">
        <v>28.9298</v>
      </c>
      <c r="E13">
        <v>26.664000000000001</v>
      </c>
      <c r="F13">
        <v>15.4</v>
      </c>
      <c r="G13" t="s">
        <v>7</v>
      </c>
    </row>
    <row r="14" spans="1:13" x14ac:dyDescent="0.3">
      <c r="A14">
        <v>13</v>
      </c>
      <c r="B14" t="s">
        <v>18</v>
      </c>
      <c r="C14">
        <v>44.964199999999998</v>
      </c>
      <c r="D14">
        <v>30.527899999999999</v>
      </c>
      <c r="E14">
        <v>24.507899999999999</v>
      </c>
      <c r="F14">
        <v>4.8</v>
      </c>
      <c r="G14" t="s">
        <v>5</v>
      </c>
    </row>
    <row r="15" spans="1:13" x14ac:dyDescent="0.3">
      <c r="A15">
        <v>14</v>
      </c>
      <c r="B15" t="s">
        <v>19</v>
      </c>
      <c r="C15">
        <v>45.048400000000001</v>
      </c>
      <c r="D15">
        <v>31.104900000000001</v>
      </c>
      <c r="E15">
        <v>23.846699999999998</v>
      </c>
      <c r="F15">
        <v>9</v>
      </c>
      <c r="G15" t="s">
        <v>5</v>
      </c>
    </row>
    <row r="16" spans="1:13" x14ac:dyDescent="0.3">
      <c r="A16">
        <v>15</v>
      </c>
      <c r="B16" t="s">
        <v>20</v>
      </c>
      <c r="C16">
        <v>46.994199999999999</v>
      </c>
      <c r="D16">
        <v>26.049600000000002</v>
      </c>
      <c r="E16">
        <v>26.956199999999999</v>
      </c>
      <c r="F16">
        <v>14.6</v>
      </c>
      <c r="G16" t="s">
        <v>7</v>
      </c>
    </row>
    <row r="17" spans="1:7" x14ac:dyDescent="0.3">
      <c r="A17">
        <v>16</v>
      </c>
      <c r="B17" t="s">
        <v>21</v>
      </c>
      <c r="C17">
        <v>45.584200000000003</v>
      </c>
      <c r="D17">
        <v>28.731100000000001</v>
      </c>
      <c r="E17">
        <v>25.684799999999999</v>
      </c>
      <c r="F17">
        <v>14</v>
      </c>
      <c r="G17" t="s">
        <v>7</v>
      </c>
    </row>
    <row r="18" spans="1:7" x14ac:dyDescent="0.3">
      <c r="A18">
        <v>17</v>
      </c>
      <c r="B18" t="s">
        <v>22</v>
      </c>
      <c r="C18">
        <v>42.535800000000002</v>
      </c>
      <c r="D18">
        <v>30.160399999999999</v>
      </c>
      <c r="E18">
        <v>27.303899999999999</v>
      </c>
      <c r="F18">
        <v>10</v>
      </c>
      <c r="G18" t="s">
        <v>5</v>
      </c>
    </row>
    <row r="19" spans="1:7" x14ac:dyDescent="0.3">
      <c r="A19">
        <v>18</v>
      </c>
      <c r="B19" t="s">
        <v>23</v>
      </c>
      <c r="C19">
        <v>44.095700000000001</v>
      </c>
      <c r="D19">
        <v>29.997299999999999</v>
      </c>
      <c r="E19">
        <v>25.907</v>
      </c>
      <c r="F19">
        <v>8.3000000000000007</v>
      </c>
      <c r="G19" t="s">
        <v>5</v>
      </c>
    </row>
    <row r="20" spans="1:7" x14ac:dyDescent="0.3">
      <c r="A20">
        <v>19</v>
      </c>
      <c r="B20" t="s">
        <v>24</v>
      </c>
      <c r="C20">
        <v>45.7104</v>
      </c>
      <c r="D20">
        <v>27.569299999999998</v>
      </c>
      <c r="E20">
        <v>26.720400000000001</v>
      </c>
      <c r="F20">
        <v>13.6</v>
      </c>
      <c r="G20" t="s">
        <v>7</v>
      </c>
    </row>
    <row r="21" spans="1:7" x14ac:dyDescent="0.3">
      <c r="A21">
        <v>20</v>
      </c>
      <c r="B21" t="s">
        <v>25</v>
      </c>
      <c r="C21">
        <v>40.936500000000002</v>
      </c>
      <c r="D21">
        <v>31.968699999999998</v>
      </c>
      <c r="E21">
        <v>27.094799999999999</v>
      </c>
      <c r="F21">
        <v>9.9</v>
      </c>
      <c r="G21" t="s">
        <v>5</v>
      </c>
    </row>
    <row r="22" spans="1:7" x14ac:dyDescent="0.3">
      <c r="A22">
        <v>21</v>
      </c>
      <c r="B22" t="s">
        <v>26</v>
      </c>
      <c r="C22">
        <v>44.9116</v>
      </c>
      <c r="D22">
        <v>30.376100000000001</v>
      </c>
      <c r="E22">
        <v>24.712299999999999</v>
      </c>
      <c r="F22">
        <v>11.6</v>
      </c>
      <c r="G22" t="s">
        <v>7</v>
      </c>
    </row>
    <row r="23" spans="1:7" x14ac:dyDescent="0.3">
      <c r="A23">
        <v>22</v>
      </c>
      <c r="B23" t="s">
        <v>27</v>
      </c>
      <c r="C23">
        <v>43.422499999999999</v>
      </c>
      <c r="D23">
        <v>29.788900000000002</v>
      </c>
      <c r="E23">
        <v>26.788599999999999</v>
      </c>
      <c r="F23">
        <v>12.4</v>
      </c>
      <c r="G23" t="s">
        <v>7</v>
      </c>
    </row>
    <row r="24" spans="1:7" x14ac:dyDescent="0.3">
      <c r="A24">
        <v>23</v>
      </c>
      <c r="B24" t="s">
        <v>28</v>
      </c>
      <c r="C24">
        <v>43.301900000000003</v>
      </c>
      <c r="D24">
        <v>29.828499999999998</v>
      </c>
      <c r="E24">
        <v>26.869700000000002</v>
      </c>
      <c r="F24">
        <v>12.1</v>
      </c>
      <c r="G24" t="s">
        <v>7</v>
      </c>
    </row>
    <row r="25" spans="1:7" x14ac:dyDescent="0.3">
      <c r="A25">
        <v>24</v>
      </c>
      <c r="B25" t="s">
        <v>29</v>
      </c>
      <c r="C25">
        <v>47.6372</v>
      </c>
      <c r="D25">
        <v>26.795300000000001</v>
      </c>
      <c r="E25">
        <v>25.567499999999999</v>
      </c>
      <c r="F25">
        <v>15.1</v>
      </c>
      <c r="G25" t="s">
        <v>7</v>
      </c>
    </row>
    <row r="26" spans="1:7" x14ac:dyDescent="0.3">
      <c r="A26">
        <v>25</v>
      </c>
      <c r="B26" t="s">
        <v>30</v>
      </c>
      <c r="C26">
        <v>45.690600000000003</v>
      </c>
      <c r="D26">
        <v>30.073499999999999</v>
      </c>
      <c r="E26">
        <v>24.235900000000001</v>
      </c>
      <c r="F26">
        <v>9.1</v>
      </c>
      <c r="G26" t="s">
        <v>5</v>
      </c>
    </row>
    <row r="27" spans="1:7" x14ac:dyDescent="0.3">
      <c r="A27">
        <v>26</v>
      </c>
      <c r="B27" t="s">
        <v>31</v>
      </c>
      <c r="C27">
        <v>43.409799999999997</v>
      </c>
      <c r="D27">
        <v>31.2315</v>
      </c>
      <c r="E27">
        <v>25.358599999999999</v>
      </c>
      <c r="F27">
        <v>12.9</v>
      </c>
      <c r="G27" t="s">
        <v>7</v>
      </c>
    </row>
    <row r="28" spans="1:7" x14ac:dyDescent="0.3">
      <c r="A28">
        <v>27</v>
      </c>
      <c r="B28" t="s">
        <v>32</v>
      </c>
      <c r="C28">
        <v>44.425199999999997</v>
      </c>
      <c r="D28">
        <v>28.743600000000001</v>
      </c>
      <c r="E28">
        <v>26.831199999999999</v>
      </c>
      <c r="F28">
        <v>14.7</v>
      </c>
      <c r="G28" t="s">
        <v>7</v>
      </c>
    </row>
    <row r="29" spans="1:7" x14ac:dyDescent="0.3">
      <c r="A29">
        <v>28</v>
      </c>
      <c r="B29" t="s">
        <v>33</v>
      </c>
      <c r="C29">
        <v>44.329700000000003</v>
      </c>
      <c r="D29">
        <v>28.761700000000001</v>
      </c>
      <c r="E29">
        <v>26.9086</v>
      </c>
      <c r="F29">
        <v>14.1</v>
      </c>
      <c r="G29" t="s">
        <v>7</v>
      </c>
    </row>
    <row r="30" spans="1:7" x14ac:dyDescent="0.3">
      <c r="A30">
        <v>29</v>
      </c>
      <c r="B30" t="s">
        <v>34</v>
      </c>
      <c r="C30">
        <v>47.891300000000001</v>
      </c>
      <c r="D30">
        <v>27.095199999999998</v>
      </c>
      <c r="E30">
        <v>25.013500000000001</v>
      </c>
      <c r="F30">
        <v>14.6</v>
      </c>
      <c r="G30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B6C0-F3DB-443B-B749-1BD0C0B43712}">
  <dimension ref="A1:I30"/>
  <sheetViews>
    <sheetView workbookViewId="0">
      <selection activeCell="K18" sqref="K18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2</v>
      </c>
      <c r="G1" t="s">
        <v>3</v>
      </c>
      <c r="I1" t="s">
        <v>44</v>
      </c>
    </row>
    <row r="2" spans="1:9" x14ac:dyDescent="0.3">
      <c r="A2">
        <v>1</v>
      </c>
      <c r="B2" t="s">
        <v>4</v>
      </c>
      <c r="C2">
        <v>43.255499999999998</v>
      </c>
      <c r="D2">
        <v>30.842099999999999</v>
      </c>
      <c r="E2">
        <v>25.9025</v>
      </c>
      <c r="F2">
        <v>6.3</v>
      </c>
      <c r="G2" t="s">
        <v>5</v>
      </c>
      <c r="I2" t="b">
        <f>F2&lt;=12</f>
        <v>1</v>
      </c>
    </row>
    <row r="3" spans="1:9" x14ac:dyDescent="0.3">
      <c r="A3">
        <v>2</v>
      </c>
      <c r="B3" t="s">
        <v>6</v>
      </c>
      <c r="C3">
        <v>45.603299999999997</v>
      </c>
      <c r="D3">
        <v>28.19</v>
      </c>
      <c r="E3">
        <v>26.206700000000001</v>
      </c>
      <c r="F3">
        <v>13.5</v>
      </c>
      <c r="G3" t="s">
        <v>7</v>
      </c>
      <c r="I3" t="b">
        <f t="shared" ref="I3:I30" si="0">F3&lt;=12</f>
        <v>0</v>
      </c>
    </row>
    <row r="4" spans="1:9" x14ac:dyDescent="0.3">
      <c r="A4">
        <v>3</v>
      </c>
      <c r="B4" t="s">
        <v>8</v>
      </c>
      <c r="C4">
        <v>45.0107</v>
      </c>
      <c r="D4">
        <v>28.967700000000001</v>
      </c>
      <c r="E4">
        <v>26.0215</v>
      </c>
      <c r="F4">
        <v>11.7</v>
      </c>
      <c r="G4" t="s">
        <v>7</v>
      </c>
      <c r="I4" t="b">
        <f t="shared" si="0"/>
        <v>1</v>
      </c>
    </row>
    <row r="5" spans="1:9" x14ac:dyDescent="0.3">
      <c r="A5">
        <v>4</v>
      </c>
      <c r="B5" t="s">
        <v>9</v>
      </c>
      <c r="C5">
        <v>44.5398</v>
      </c>
      <c r="D5">
        <v>28.989899999999999</v>
      </c>
      <c r="E5">
        <v>26.470300000000002</v>
      </c>
      <c r="F5">
        <v>13.5</v>
      </c>
      <c r="G5" t="s">
        <v>7</v>
      </c>
      <c r="I5" t="b">
        <f t="shared" si="0"/>
        <v>0</v>
      </c>
    </row>
    <row r="6" spans="1:9" x14ac:dyDescent="0.3">
      <c r="A6">
        <v>5</v>
      </c>
      <c r="B6" t="s">
        <v>10</v>
      </c>
      <c r="C6">
        <v>43.286999999999999</v>
      </c>
      <c r="D6">
        <v>30.697199999999999</v>
      </c>
      <c r="E6">
        <v>26.015799999999999</v>
      </c>
      <c r="F6">
        <v>12.4</v>
      </c>
      <c r="G6" t="s">
        <v>7</v>
      </c>
      <c r="I6" t="b">
        <f t="shared" si="0"/>
        <v>0</v>
      </c>
    </row>
    <row r="7" spans="1:9" x14ac:dyDescent="0.3">
      <c r="A7">
        <v>6</v>
      </c>
      <c r="B7" t="s">
        <v>11</v>
      </c>
      <c r="C7">
        <v>45.099400000000003</v>
      </c>
      <c r="D7">
        <v>27.964500000000001</v>
      </c>
      <c r="E7">
        <v>26.9361</v>
      </c>
      <c r="F7">
        <v>16.2</v>
      </c>
      <c r="G7" t="s">
        <v>7</v>
      </c>
      <c r="I7" t="b">
        <f t="shared" si="0"/>
        <v>0</v>
      </c>
    </row>
    <row r="8" spans="1:9" x14ac:dyDescent="0.3">
      <c r="A8">
        <v>7</v>
      </c>
      <c r="B8" t="s">
        <v>12</v>
      </c>
      <c r="C8">
        <v>43.145699999999998</v>
      </c>
      <c r="D8">
        <v>30.162800000000001</v>
      </c>
      <c r="E8">
        <v>26.691500000000001</v>
      </c>
      <c r="F8">
        <v>8.6</v>
      </c>
      <c r="G8" t="s">
        <v>5</v>
      </c>
      <c r="I8" t="b">
        <f t="shared" si="0"/>
        <v>1</v>
      </c>
    </row>
    <row r="9" spans="1:9" x14ac:dyDescent="0.3">
      <c r="A9">
        <v>8</v>
      </c>
      <c r="B9" t="s">
        <v>13</v>
      </c>
      <c r="C9">
        <v>43.610300000000002</v>
      </c>
      <c r="D9">
        <v>29.1099</v>
      </c>
      <c r="E9">
        <v>27.279800000000002</v>
      </c>
      <c r="F9">
        <v>10.3</v>
      </c>
      <c r="G9" t="s">
        <v>7</v>
      </c>
      <c r="I9" t="b">
        <f t="shared" si="0"/>
        <v>1</v>
      </c>
    </row>
    <row r="10" spans="1:9" x14ac:dyDescent="0.3">
      <c r="A10">
        <v>9</v>
      </c>
      <c r="B10" t="s">
        <v>14</v>
      </c>
      <c r="C10">
        <v>45.042299999999997</v>
      </c>
      <c r="D10">
        <v>29.166</v>
      </c>
      <c r="E10">
        <v>25.791799999999999</v>
      </c>
      <c r="F10">
        <v>13</v>
      </c>
      <c r="G10" t="s">
        <v>7</v>
      </c>
      <c r="I10" t="b">
        <f t="shared" si="0"/>
        <v>0</v>
      </c>
    </row>
    <row r="11" spans="1:9" x14ac:dyDescent="0.3">
      <c r="A11">
        <v>10</v>
      </c>
      <c r="B11" t="s">
        <v>15</v>
      </c>
      <c r="C11">
        <v>46.514299999999999</v>
      </c>
      <c r="D11">
        <v>27.4282</v>
      </c>
      <c r="E11">
        <v>26.057500000000001</v>
      </c>
      <c r="F11">
        <v>9.6999999999999993</v>
      </c>
      <c r="G11" t="s">
        <v>5</v>
      </c>
      <c r="I11" t="b">
        <f t="shared" si="0"/>
        <v>1</v>
      </c>
    </row>
    <row r="12" spans="1:9" x14ac:dyDescent="0.3">
      <c r="A12">
        <v>11</v>
      </c>
      <c r="B12" t="s">
        <v>16</v>
      </c>
      <c r="C12">
        <v>45.3506</v>
      </c>
      <c r="D12">
        <v>29.1248</v>
      </c>
      <c r="E12">
        <v>25.5246</v>
      </c>
      <c r="F12">
        <v>12.6</v>
      </c>
      <c r="G12" t="s">
        <v>7</v>
      </c>
      <c r="I12" t="b">
        <f t="shared" si="0"/>
        <v>0</v>
      </c>
    </row>
    <row r="13" spans="1:9" x14ac:dyDescent="0.3">
      <c r="A13">
        <v>12</v>
      </c>
      <c r="B13" t="s">
        <v>17</v>
      </c>
      <c r="C13">
        <v>44.406199999999998</v>
      </c>
      <c r="D13">
        <v>28.9298</v>
      </c>
      <c r="E13">
        <v>26.664000000000001</v>
      </c>
      <c r="F13">
        <v>15.4</v>
      </c>
      <c r="G13" t="s">
        <v>7</v>
      </c>
      <c r="I13" t="b">
        <f t="shared" si="0"/>
        <v>0</v>
      </c>
    </row>
    <row r="14" spans="1:9" x14ac:dyDescent="0.3">
      <c r="A14">
        <v>13</v>
      </c>
      <c r="B14" t="s">
        <v>18</v>
      </c>
      <c r="C14">
        <v>44.964199999999998</v>
      </c>
      <c r="D14">
        <v>30.527899999999999</v>
      </c>
      <c r="E14">
        <v>24.507899999999999</v>
      </c>
      <c r="F14">
        <v>4.8</v>
      </c>
      <c r="G14" t="s">
        <v>5</v>
      </c>
      <c r="I14" t="b">
        <f t="shared" si="0"/>
        <v>1</v>
      </c>
    </row>
    <row r="15" spans="1:9" x14ac:dyDescent="0.3">
      <c r="A15">
        <v>14</v>
      </c>
      <c r="B15" t="s">
        <v>19</v>
      </c>
      <c r="C15">
        <v>45.048400000000001</v>
      </c>
      <c r="D15">
        <v>31.104900000000001</v>
      </c>
      <c r="E15">
        <v>23.846699999999998</v>
      </c>
      <c r="F15">
        <v>9</v>
      </c>
      <c r="G15" t="s">
        <v>5</v>
      </c>
      <c r="I15" t="b">
        <f t="shared" si="0"/>
        <v>1</v>
      </c>
    </row>
    <row r="16" spans="1:9" x14ac:dyDescent="0.3">
      <c r="A16">
        <v>15</v>
      </c>
      <c r="B16" t="s">
        <v>20</v>
      </c>
      <c r="C16">
        <v>46.994199999999999</v>
      </c>
      <c r="D16">
        <v>26.049600000000002</v>
      </c>
      <c r="E16">
        <v>26.956199999999999</v>
      </c>
      <c r="F16">
        <v>14.6</v>
      </c>
      <c r="G16" t="s">
        <v>7</v>
      </c>
      <c r="I16" t="b">
        <f t="shared" si="0"/>
        <v>0</v>
      </c>
    </row>
    <row r="17" spans="1:9" x14ac:dyDescent="0.3">
      <c r="A17">
        <v>16</v>
      </c>
      <c r="B17" t="s">
        <v>21</v>
      </c>
      <c r="C17">
        <v>45.584200000000003</v>
      </c>
      <c r="D17">
        <v>28.731100000000001</v>
      </c>
      <c r="E17">
        <v>25.684799999999999</v>
      </c>
      <c r="F17">
        <v>14</v>
      </c>
      <c r="G17" t="s">
        <v>7</v>
      </c>
      <c r="I17" t="b">
        <f t="shared" si="0"/>
        <v>0</v>
      </c>
    </row>
    <row r="18" spans="1:9" x14ac:dyDescent="0.3">
      <c r="A18">
        <v>17</v>
      </c>
      <c r="B18" t="s">
        <v>22</v>
      </c>
      <c r="C18">
        <v>42.535800000000002</v>
      </c>
      <c r="D18">
        <v>30.160399999999999</v>
      </c>
      <c r="E18">
        <v>27.303899999999999</v>
      </c>
      <c r="F18">
        <v>10</v>
      </c>
      <c r="G18" t="s">
        <v>5</v>
      </c>
      <c r="I18" t="b">
        <f t="shared" si="0"/>
        <v>1</v>
      </c>
    </row>
    <row r="19" spans="1:9" x14ac:dyDescent="0.3">
      <c r="A19">
        <v>18</v>
      </c>
      <c r="B19" t="s">
        <v>23</v>
      </c>
      <c r="C19">
        <v>44.095700000000001</v>
      </c>
      <c r="D19">
        <v>29.997299999999999</v>
      </c>
      <c r="E19">
        <v>25.907</v>
      </c>
      <c r="F19">
        <v>8.3000000000000007</v>
      </c>
      <c r="G19" t="s">
        <v>5</v>
      </c>
      <c r="I19" t="b">
        <f t="shared" si="0"/>
        <v>1</v>
      </c>
    </row>
    <row r="20" spans="1:9" x14ac:dyDescent="0.3">
      <c r="A20">
        <v>19</v>
      </c>
      <c r="B20" t="s">
        <v>24</v>
      </c>
      <c r="C20">
        <v>45.7104</v>
      </c>
      <c r="D20">
        <v>27.569299999999998</v>
      </c>
      <c r="E20">
        <v>26.720400000000001</v>
      </c>
      <c r="F20">
        <v>13.6</v>
      </c>
      <c r="G20" t="s">
        <v>7</v>
      </c>
      <c r="I20" t="b">
        <f t="shared" si="0"/>
        <v>0</v>
      </c>
    </row>
    <row r="21" spans="1:9" x14ac:dyDescent="0.3">
      <c r="A21">
        <v>20</v>
      </c>
      <c r="B21" t="s">
        <v>25</v>
      </c>
      <c r="C21">
        <v>40.936500000000002</v>
      </c>
      <c r="D21">
        <v>31.968699999999998</v>
      </c>
      <c r="E21">
        <v>27.094799999999999</v>
      </c>
      <c r="F21">
        <v>9.9</v>
      </c>
      <c r="G21" t="s">
        <v>5</v>
      </c>
      <c r="I21" t="b">
        <f t="shared" si="0"/>
        <v>1</v>
      </c>
    </row>
    <row r="22" spans="1:9" x14ac:dyDescent="0.3">
      <c r="A22">
        <v>21</v>
      </c>
      <c r="B22" t="s">
        <v>26</v>
      </c>
      <c r="C22">
        <v>44.9116</v>
      </c>
      <c r="D22">
        <v>30.376100000000001</v>
      </c>
      <c r="E22">
        <v>24.712299999999999</v>
      </c>
      <c r="F22">
        <v>11.6</v>
      </c>
      <c r="G22" t="s">
        <v>7</v>
      </c>
      <c r="I22" t="b">
        <f t="shared" si="0"/>
        <v>1</v>
      </c>
    </row>
    <row r="23" spans="1:9" x14ac:dyDescent="0.3">
      <c r="A23">
        <v>22</v>
      </c>
      <c r="B23" t="s">
        <v>27</v>
      </c>
      <c r="C23">
        <v>43.422499999999999</v>
      </c>
      <c r="D23">
        <v>29.788900000000002</v>
      </c>
      <c r="E23">
        <v>26.788599999999999</v>
      </c>
      <c r="F23">
        <v>12.4</v>
      </c>
      <c r="G23" t="s">
        <v>7</v>
      </c>
      <c r="I23" t="b">
        <f t="shared" si="0"/>
        <v>0</v>
      </c>
    </row>
    <row r="24" spans="1:9" x14ac:dyDescent="0.3">
      <c r="A24">
        <v>23</v>
      </c>
      <c r="B24" t="s">
        <v>28</v>
      </c>
      <c r="C24">
        <v>43.301900000000003</v>
      </c>
      <c r="D24">
        <v>29.828499999999998</v>
      </c>
      <c r="E24">
        <v>26.869700000000002</v>
      </c>
      <c r="F24">
        <v>12.1</v>
      </c>
      <c r="G24" t="s">
        <v>7</v>
      </c>
      <c r="I24" t="b">
        <f t="shared" si="0"/>
        <v>0</v>
      </c>
    </row>
    <row r="25" spans="1:9" x14ac:dyDescent="0.3">
      <c r="A25">
        <v>24</v>
      </c>
      <c r="B25" t="s">
        <v>29</v>
      </c>
      <c r="C25">
        <v>47.6372</v>
      </c>
      <c r="D25">
        <v>26.795300000000001</v>
      </c>
      <c r="E25">
        <v>25.567499999999999</v>
      </c>
      <c r="F25">
        <v>15.1</v>
      </c>
      <c r="G25" t="s">
        <v>7</v>
      </c>
      <c r="I25" t="b">
        <f t="shared" si="0"/>
        <v>0</v>
      </c>
    </row>
    <row r="26" spans="1:9" x14ac:dyDescent="0.3">
      <c r="A26">
        <v>25</v>
      </c>
      <c r="B26" t="s">
        <v>30</v>
      </c>
      <c r="C26">
        <v>45.690600000000003</v>
      </c>
      <c r="D26">
        <v>30.073499999999999</v>
      </c>
      <c r="E26">
        <v>24.235900000000001</v>
      </c>
      <c r="F26">
        <v>9.1</v>
      </c>
      <c r="G26" t="s">
        <v>5</v>
      </c>
      <c r="I26" t="b">
        <f t="shared" si="0"/>
        <v>1</v>
      </c>
    </row>
    <row r="27" spans="1:9" x14ac:dyDescent="0.3">
      <c r="A27">
        <v>26</v>
      </c>
      <c r="B27" t="s">
        <v>31</v>
      </c>
      <c r="C27">
        <v>43.409799999999997</v>
      </c>
      <c r="D27">
        <v>31.2315</v>
      </c>
      <c r="E27">
        <v>25.358599999999999</v>
      </c>
      <c r="F27">
        <v>12.9</v>
      </c>
      <c r="G27" t="s">
        <v>7</v>
      </c>
      <c r="I27" t="b">
        <f t="shared" si="0"/>
        <v>0</v>
      </c>
    </row>
    <row r="28" spans="1:9" x14ac:dyDescent="0.3">
      <c r="A28">
        <v>27</v>
      </c>
      <c r="B28" t="s">
        <v>32</v>
      </c>
      <c r="C28">
        <v>44.425199999999997</v>
      </c>
      <c r="D28">
        <v>28.743600000000001</v>
      </c>
      <c r="E28">
        <v>26.831199999999999</v>
      </c>
      <c r="F28">
        <v>14.7</v>
      </c>
      <c r="G28" t="s">
        <v>7</v>
      </c>
      <c r="I28" t="b">
        <f t="shared" si="0"/>
        <v>0</v>
      </c>
    </row>
    <row r="29" spans="1:9" x14ac:dyDescent="0.3">
      <c r="A29">
        <v>28</v>
      </c>
      <c r="B29" t="s">
        <v>33</v>
      </c>
      <c r="C29">
        <v>44.329700000000003</v>
      </c>
      <c r="D29">
        <v>28.761700000000001</v>
      </c>
      <c r="E29">
        <v>26.9086</v>
      </c>
      <c r="F29">
        <v>14.1</v>
      </c>
      <c r="G29" t="s">
        <v>7</v>
      </c>
      <c r="I29" t="b">
        <f t="shared" si="0"/>
        <v>0</v>
      </c>
    </row>
    <row r="30" spans="1:9" x14ac:dyDescent="0.3">
      <c r="A30">
        <v>29</v>
      </c>
      <c r="B30" t="s">
        <v>34</v>
      </c>
      <c r="C30">
        <v>47.891300000000001</v>
      </c>
      <c r="D30">
        <v>27.095199999999998</v>
      </c>
      <c r="E30">
        <v>25.013500000000001</v>
      </c>
      <c r="F30">
        <v>14.6</v>
      </c>
      <c r="G30" t="s">
        <v>7</v>
      </c>
      <c r="I30" t="b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DB87-8079-4226-86AE-DC72B67797F7}">
  <dimension ref="A1:A11"/>
  <sheetViews>
    <sheetView workbookViewId="0">
      <selection activeCell="L17" sqref="L17"/>
    </sheetView>
  </sheetViews>
  <sheetFormatPr defaultRowHeight="14.4" x14ac:dyDescent="0.3"/>
  <sheetData>
    <row r="1" spans="1:1" x14ac:dyDescent="0.3">
      <c r="A1" t="s">
        <v>38</v>
      </c>
    </row>
    <row r="3" spans="1:1" x14ac:dyDescent="0.3">
      <c r="A3" t="s">
        <v>39</v>
      </c>
    </row>
    <row r="5" spans="1:1" x14ac:dyDescent="0.3">
      <c r="A5" t="s">
        <v>40</v>
      </c>
    </row>
    <row r="7" spans="1:1" x14ac:dyDescent="0.3">
      <c r="A7" t="s">
        <v>41</v>
      </c>
    </row>
    <row r="9" spans="1:1" x14ac:dyDescent="0.3">
      <c r="A9" t="s">
        <v>42</v>
      </c>
    </row>
    <row r="11" spans="1:1" x14ac:dyDescent="0.3">
      <c r="A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Excel sheet </vt:lpstr>
      <vt:lpstr>Question 6</vt:lpstr>
      <vt:lpstr>Question 5</vt:lpstr>
      <vt:lpstr>Question 4</vt:lpstr>
      <vt:lpstr>Question 2</vt:lpstr>
      <vt:lpstr>Question 3</vt:lpstr>
      <vt:lpstr>Question 1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HP</dc:creator>
  <cp:lastModifiedBy>HP HP</cp:lastModifiedBy>
  <dcterms:created xsi:type="dcterms:W3CDTF">2025-04-30T02:09:39Z</dcterms:created>
  <dcterms:modified xsi:type="dcterms:W3CDTF">2025-04-30T02:51:11Z</dcterms:modified>
</cp:coreProperties>
</file>